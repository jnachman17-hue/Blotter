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ing Contacts" sheetId="1" r:id="rId4"/>
    <sheet state="visible" name="Email Structures" sheetId="2" r:id="rId5"/>
  </sheets>
  <definedNames/>
  <calcPr/>
  <extLst>
    <ext uri="GoogleSheetsCustomDataVersion2">
      <go:sheetsCustomData xmlns:go="http://customooxmlschemas.google.com/" r:id="rId6" roundtripDataChecksum="UjiqskGrvL7RCtw3dI6/eFC4R8czLNaVhudEp6/R34Q="/>
    </ext>
  </extLst>
</workbook>
</file>

<file path=xl/sharedStrings.xml><?xml version="1.0" encoding="utf-8"?>
<sst xmlns="http://schemas.openxmlformats.org/spreadsheetml/2006/main" count="905" uniqueCount="424">
  <si>
    <t>Firm Name</t>
  </si>
  <si>
    <t>Structure</t>
  </si>
  <si>
    <t>Bulge Brackets</t>
  </si>
  <si>
    <t>Goldman Sachs</t>
  </si>
  <si>
    <t>Legend</t>
  </si>
  <si>
    <t>first.last@gs.com</t>
  </si>
  <si>
    <t>Morgan Stanley</t>
  </si>
  <si>
    <t>Bulge</t>
  </si>
  <si>
    <t>first.last@ms.com</t>
  </si>
  <si>
    <t>Credit Suisse</t>
  </si>
  <si>
    <t>Boutique</t>
  </si>
  <si>
    <t>first.last@credit-suisse.com</t>
  </si>
  <si>
    <t>BAML</t>
  </si>
  <si>
    <t>first.last@baml.com</t>
  </si>
  <si>
    <t>Deutsche Bank</t>
  </si>
  <si>
    <t>first.last@db.com</t>
  </si>
  <si>
    <t>J.P. Morgan</t>
  </si>
  <si>
    <t>first.m.last@jpmorgan.com</t>
  </si>
  <si>
    <t>The middle initial is only used if they have two bankers with the same name. Many banks are like that.</t>
  </si>
  <si>
    <t>Citigroup</t>
  </si>
  <si>
    <t>first.last@citi.com</t>
  </si>
  <si>
    <t>Barclays</t>
  </si>
  <si>
    <t>first.last@barclays.com</t>
  </si>
  <si>
    <t>No Response</t>
  </si>
  <si>
    <t>Boutiques/Others</t>
  </si>
  <si>
    <t>Evercore Partners</t>
  </si>
  <si>
    <t>first.last@evercore.com</t>
  </si>
  <si>
    <t>Senior Bankers = last@evercore.com</t>
  </si>
  <si>
    <t>Lazard</t>
  </si>
  <si>
    <t>first.last@lazard.com</t>
  </si>
  <si>
    <t>Houlihan Lokey</t>
  </si>
  <si>
    <t>flast@hlhz.com</t>
  </si>
  <si>
    <t>Greenhill &amp; Co.</t>
  </si>
  <si>
    <t>first.last@greenhill.com</t>
  </si>
  <si>
    <t>Centerview Partners</t>
  </si>
  <si>
    <t>flast@centerviewpartners.com</t>
  </si>
  <si>
    <t>Phone Call Done</t>
  </si>
  <si>
    <t>Cain Brothers</t>
  </si>
  <si>
    <t>flast@cainbrothers.com</t>
  </si>
  <si>
    <t>Guggenheim</t>
  </si>
  <si>
    <t>first.last@guggenheimpartners.com</t>
  </si>
  <si>
    <t>UBS</t>
  </si>
  <si>
    <t>first.last@ubs.com</t>
  </si>
  <si>
    <t>RBC</t>
  </si>
  <si>
    <t>first.last@rbc.com</t>
  </si>
  <si>
    <t>Wells Fargo</t>
  </si>
  <si>
    <t>first.last@wellsfargo.com</t>
  </si>
  <si>
    <t>Bad Email Address</t>
  </si>
  <si>
    <t>Jefferies</t>
  </si>
  <si>
    <t>flast@jefferies.com</t>
  </si>
  <si>
    <t>Macquaire</t>
  </si>
  <si>
    <t>first.last@macquaire.com</t>
  </si>
  <si>
    <t>Stifel</t>
  </si>
  <si>
    <t>first.last@stifel.com</t>
  </si>
  <si>
    <t>Oppenhemier</t>
  </si>
  <si>
    <t>first.last@opco.com</t>
  </si>
  <si>
    <t>Piper Jaffray</t>
  </si>
  <si>
    <t>first.last@pjc.com</t>
  </si>
  <si>
    <t>Raymond James</t>
  </si>
  <si>
    <t>first.last@raymondjames.com</t>
  </si>
  <si>
    <t>Met in Person</t>
  </si>
  <si>
    <t>Perella Weinberg</t>
  </si>
  <si>
    <t>flast@pwpartners.com</t>
  </si>
  <si>
    <t>Qatalyst Partners</t>
  </si>
  <si>
    <t>first.last@qatalyst.com</t>
  </si>
  <si>
    <t>This varies with some of their bankers</t>
  </si>
  <si>
    <t>PJT Partners</t>
  </si>
  <si>
    <t>last@pjtpartners.com</t>
  </si>
  <si>
    <t>Rothschild &amp; Co</t>
  </si>
  <si>
    <t>Email Correspondence</t>
  </si>
  <si>
    <t>first.last@rothschildandco.com</t>
  </si>
  <si>
    <t>Private Equity &amp; Buyside</t>
  </si>
  <si>
    <t>Apollo Global Management</t>
  </si>
  <si>
    <t>flast@apollo.com</t>
  </si>
  <si>
    <t>Blackstone</t>
  </si>
  <si>
    <t>last@blackstone.com</t>
  </si>
  <si>
    <t>Ares</t>
  </si>
  <si>
    <t>flast@aresmgmt.com</t>
  </si>
  <si>
    <t>Email Correspondence Ended</t>
  </si>
  <si>
    <t>Leaving Position</t>
  </si>
  <si>
    <t>Left Position</t>
  </si>
  <si>
    <t>Pending</t>
  </si>
  <si>
    <t>Call Pending</t>
  </si>
  <si>
    <t>NOT YET EMAILED</t>
  </si>
  <si>
    <t>Total</t>
  </si>
  <si>
    <t>Name</t>
  </si>
  <si>
    <t xml:space="preserve">Position </t>
  </si>
  <si>
    <t>Company</t>
  </si>
  <si>
    <t>Location</t>
  </si>
  <si>
    <t>Relation</t>
  </si>
  <si>
    <t>Group/Division</t>
  </si>
  <si>
    <t>Contact</t>
  </si>
  <si>
    <t>Email</t>
  </si>
  <si>
    <t>Degree</t>
  </si>
  <si>
    <t>Notes</t>
  </si>
  <si>
    <t>LinkedIn</t>
  </si>
  <si>
    <t>Initial Contact</t>
  </si>
  <si>
    <t>Secondary Contact</t>
  </si>
  <si>
    <t xml:space="preserve">Emaily Sent </t>
  </si>
  <si>
    <t>Response</t>
  </si>
  <si>
    <t>Call Date</t>
  </si>
  <si>
    <t>Email Sent From</t>
  </si>
  <si>
    <t>Thank you email</t>
  </si>
  <si>
    <t>Joseph Candelario</t>
  </si>
  <si>
    <t xml:space="preserve">Associate </t>
  </si>
  <si>
    <t xml:space="preserve">Piper Sandler </t>
  </si>
  <si>
    <t xml:space="preserve">Houston </t>
  </si>
  <si>
    <t>KA</t>
  </si>
  <si>
    <t xml:space="preserve">Energy </t>
  </si>
  <si>
    <t xml:space="preserve">Email </t>
  </si>
  <si>
    <t>joseph.candelario@psc.com</t>
  </si>
  <si>
    <t>Typically only mark if unique</t>
  </si>
  <si>
    <t>Deals they were on, advice they had, people they said were helpful, interests they have, etc.</t>
  </si>
  <si>
    <t>Here</t>
  </si>
  <si>
    <t>Date</t>
  </si>
  <si>
    <t>Yes</t>
  </si>
  <si>
    <t>Friday  (1/19) 2:30</t>
  </si>
  <si>
    <t>jnachman17@gmail.com</t>
  </si>
  <si>
    <t xml:space="preserve">Sent </t>
  </si>
  <si>
    <t xml:space="preserve">Ryan Wheeler </t>
  </si>
  <si>
    <t xml:space="preserve">Analyst </t>
  </si>
  <si>
    <t xml:space="preserve">Guggenheim </t>
  </si>
  <si>
    <t>ryan.wheeler@guggenheimpartners.com</t>
  </si>
  <si>
    <t>No</t>
  </si>
  <si>
    <t xml:space="preserve">Barbara  Barman </t>
  </si>
  <si>
    <t xml:space="preserve">Goldman </t>
  </si>
  <si>
    <t xml:space="preserve">Dallas </t>
  </si>
  <si>
    <t xml:space="preserve">PGN </t>
  </si>
  <si>
    <t xml:space="preserve">Generalist </t>
  </si>
  <si>
    <t>barman.barbara@gmail.com</t>
  </si>
  <si>
    <t>Worked at Wells Fargo Summer Analyst (Charlotte) --&gt; GS Houston</t>
  </si>
  <si>
    <t xml:space="preserve">Olivia Henderson </t>
  </si>
  <si>
    <t>Olivialeigh31@gmail.com</t>
  </si>
  <si>
    <t xml:space="preserve">Anna Giesler </t>
  </si>
  <si>
    <t xml:space="preserve">RothChilds </t>
  </si>
  <si>
    <t>New York</t>
  </si>
  <si>
    <t>Anna.e.giesler@gmail.com</t>
  </si>
  <si>
    <t xml:space="preserve">Quincy Steele </t>
  </si>
  <si>
    <t xml:space="preserve">New York </t>
  </si>
  <si>
    <t xml:space="preserve">Utilities and Power </t>
  </si>
  <si>
    <t>steelequincy@gmail.com</t>
  </si>
  <si>
    <t xml:space="preserve">Yes </t>
  </si>
  <si>
    <t>Alice Watts</t>
  </si>
  <si>
    <t>Perella Weinberg Partners</t>
  </si>
  <si>
    <t>alicewatts419@gmail.com</t>
  </si>
  <si>
    <t xml:space="preserve">Noble Nash </t>
  </si>
  <si>
    <t xml:space="preserve">Intrepid </t>
  </si>
  <si>
    <t>Noble.nash@me.com</t>
  </si>
  <si>
    <t xml:space="preserve">Sam Susser </t>
  </si>
  <si>
    <t>same@susser.us</t>
  </si>
  <si>
    <t xml:space="preserve">Victoria Daly </t>
  </si>
  <si>
    <t xml:space="preserve">London </t>
  </si>
  <si>
    <t>victoriad@utexas.edu</t>
  </si>
  <si>
    <t>Kathryn Dzierzanowski</t>
  </si>
  <si>
    <t xml:space="preserve">Cain Brothers </t>
  </si>
  <si>
    <t>Healthcare</t>
  </si>
  <si>
    <t>kathryndzierzanowski@gmail.com</t>
  </si>
  <si>
    <t>Bumped 1st email</t>
  </si>
  <si>
    <t xml:space="preserve">Douglas Meshenhower </t>
  </si>
  <si>
    <t>MD</t>
  </si>
  <si>
    <t xml:space="preserve">Barclays </t>
  </si>
  <si>
    <t>Dad</t>
  </si>
  <si>
    <t>?</t>
  </si>
  <si>
    <t>douglas.melsheimer@barclays.com</t>
  </si>
  <si>
    <t>Get history and prepare for tomorrow's call</t>
  </si>
  <si>
    <t>Friday (1/26) @ 1:30 Pm,</t>
  </si>
  <si>
    <t>Sent</t>
  </si>
  <si>
    <t xml:space="preserve">Kate Borden </t>
  </si>
  <si>
    <t xml:space="preserve">Huliihan </t>
  </si>
  <si>
    <t xml:space="preserve">Los Angeles </t>
  </si>
  <si>
    <t xml:space="preserve">Chadwick </t>
  </si>
  <si>
    <t>kborden@hl.com</t>
  </si>
  <si>
    <t xml:space="preserve">Monday (1/22) @ 6 pm </t>
  </si>
  <si>
    <t>SPWard@hl.com</t>
  </si>
  <si>
    <t xml:space="preserve">Micah - no mention </t>
  </si>
  <si>
    <t>RX</t>
  </si>
  <si>
    <t>jnachman@utexas.edu</t>
  </si>
  <si>
    <t xml:space="preserve">Luke Skelly </t>
  </si>
  <si>
    <t>LSE &amp; Texas</t>
  </si>
  <si>
    <t xml:space="preserve">Tech </t>
  </si>
  <si>
    <t>lukes5061@gmail.com</t>
  </si>
  <si>
    <t xml:space="preserve">No </t>
  </si>
  <si>
    <t xml:space="preserve">Nicholas Perez </t>
  </si>
  <si>
    <t>Texas</t>
  </si>
  <si>
    <t>Power, Utilities, Renewables</t>
  </si>
  <si>
    <t>nicholas.perez@guggenheimpartners.com</t>
  </si>
  <si>
    <t xml:space="preserve">Michael Liou </t>
  </si>
  <si>
    <t xml:space="preserve">Texas </t>
  </si>
  <si>
    <t>Michael.liou@guggenheimpartners.com</t>
  </si>
  <si>
    <t>Bumped 1st Email</t>
  </si>
  <si>
    <t xml:space="preserve">Joshua Gumm </t>
  </si>
  <si>
    <t xml:space="preserve">FT Partners </t>
  </si>
  <si>
    <t xml:space="preserve">San Francisco </t>
  </si>
  <si>
    <t xml:space="preserve">Family Friend </t>
  </si>
  <si>
    <t>joshua.gumm@ftpartners.com</t>
  </si>
  <si>
    <t>Sending contact info of houston guy who went to rice then re recruited to get outta houston</t>
  </si>
  <si>
    <t xml:space="preserve">Monday (1/22) @ 1pm </t>
  </si>
  <si>
    <t xml:space="preserve">Mike Giaquinto </t>
  </si>
  <si>
    <t>Leerink</t>
  </si>
  <si>
    <t>Health Care</t>
  </si>
  <si>
    <t>mike.giaquinto@leerink.com</t>
  </si>
  <si>
    <t>FOLLOW UP</t>
  </si>
  <si>
    <t xml:space="preserve">Humberto Zamorano </t>
  </si>
  <si>
    <t xml:space="preserve">Incoming Analyst </t>
  </si>
  <si>
    <t>JP Morgan</t>
  </si>
  <si>
    <t>Phone</t>
  </si>
  <si>
    <t>Ongoing</t>
  </si>
  <si>
    <t>Thursday 1/18 after 6</t>
  </si>
  <si>
    <t xml:space="preserve">Chris Miller </t>
  </si>
  <si>
    <t xml:space="preserve">Senior Md </t>
  </si>
  <si>
    <t>Citi</t>
  </si>
  <si>
    <t xml:space="preserve">Oil &amp; Gas? </t>
  </si>
  <si>
    <t>chris.miller@citi.com</t>
  </si>
  <si>
    <t>None</t>
  </si>
  <si>
    <t>No*</t>
  </si>
  <si>
    <t xml:space="preserve">jnachman17@gmail.com </t>
  </si>
  <si>
    <t xml:space="preserve">Steve McLaughlin
</t>
  </si>
  <si>
    <t xml:space="preserve">CEO </t>
  </si>
  <si>
    <t xml:space="preserve">Miami </t>
  </si>
  <si>
    <t>Dad - Biz</t>
  </si>
  <si>
    <t xml:space="preserve">unknown </t>
  </si>
  <si>
    <t>unknown</t>
  </si>
  <si>
    <t>Turner Gauntt</t>
  </si>
  <si>
    <t xml:space="preserve">Jefferies </t>
  </si>
  <si>
    <t>tgauntt@jefferies.com</t>
  </si>
  <si>
    <t xml:space="preserve">Nick Gernstein </t>
  </si>
  <si>
    <t>Miranda Brother</t>
  </si>
  <si>
    <t>M&amp;A</t>
  </si>
  <si>
    <t>NGerstein99@gmail.com</t>
  </si>
  <si>
    <t xml:space="preserve">Friday (1/26) @ 10 am </t>
  </si>
  <si>
    <t>Carrie Cruces</t>
  </si>
  <si>
    <t>Chris Miller Refferal</t>
  </si>
  <si>
    <t>carrie.cruces@citi.com</t>
  </si>
  <si>
    <t>M: +1.908.247.4363, O: +1.832.667.0726</t>
  </si>
  <si>
    <t>Monday (1/22) @ 2pm</t>
  </si>
  <si>
    <t>Grey.Bianca@mizuhogroup.com</t>
  </si>
  <si>
    <t xml:space="preserve">Mizhou Group </t>
  </si>
  <si>
    <t>(318) 780-2674</t>
  </si>
  <si>
    <t>Wednesday (1/24) 2 pm Ct</t>
  </si>
  <si>
    <t>Carson Harris</t>
  </si>
  <si>
    <t xml:space="preserve">JP Morgan </t>
  </si>
  <si>
    <t>Chris Miller Refferal / texas</t>
  </si>
  <si>
    <t>carson.harris@jpmorgan.com</t>
  </si>
  <si>
    <t>Times proposed</t>
  </si>
  <si>
    <t>Tuesday (1/23) 6 pm ct</t>
  </si>
  <si>
    <t>Jessica (Jess Luft)</t>
  </si>
  <si>
    <t xml:space="preserve">HR </t>
  </si>
  <si>
    <t>BofA</t>
  </si>
  <si>
    <t xml:space="preserve">New York * </t>
  </si>
  <si>
    <t>UT Networking</t>
  </si>
  <si>
    <t>*</t>
  </si>
  <si>
    <t>jessica.luft@bofa.com</t>
  </si>
  <si>
    <t>1/18 (in person) 1/19 email</t>
  </si>
  <si>
    <t xml:space="preserve">John Sellingslosh </t>
  </si>
  <si>
    <t xml:space="preserve">VP </t>
  </si>
  <si>
    <t xml:space="preserve">UT Networking </t>
  </si>
  <si>
    <t>sellingsloh@intrepidfp.com</t>
  </si>
  <si>
    <t>Energy - Forwarded me to appropiate New York Contacts</t>
  </si>
  <si>
    <t xml:space="preserve">Keaton Cruzcosa </t>
  </si>
  <si>
    <t>Refferal by Joseph C / UT</t>
  </si>
  <si>
    <t>Keaton.cruzcosa@psc.com</t>
  </si>
  <si>
    <t>Energy</t>
  </si>
  <si>
    <t>Yes (Sent times)</t>
  </si>
  <si>
    <t>Gary Horton</t>
  </si>
  <si>
    <t>Reffered by Josh Sellingsloh</t>
  </si>
  <si>
    <t>horton@intrepidfp.com</t>
  </si>
  <si>
    <t xml:space="preserve">Times proposed </t>
  </si>
  <si>
    <t>Yes*</t>
  </si>
  <si>
    <t xml:space="preserve">Tueday (1/23) 12:30 pm </t>
  </si>
  <si>
    <t xml:space="preserve">Will Robinson </t>
  </si>
  <si>
    <t>Robinson@intrepidfp.com</t>
  </si>
  <si>
    <t>Thursday (1/25) @ 1pm ct</t>
  </si>
  <si>
    <t>Brad Hutchinson</t>
  </si>
  <si>
    <t>MD / Vice Chairman</t>
  </si>
  <si>
    <t xml:space="preserve">BofA Merrill Lynch </t>
  </si>
  <si>
    <t xml:space="preserve">Chirs - Senior Refferal </t>
  </si>
  <si>
    <t>b.hutchinson@baml.com</t>
  </si>
  <si>
    <t xml:space="preserve">Scheduled Send Monday @ 8 am </t>
  </si>
  <si>
    <t>Awaiting Send</t>
  </si>
  <si>
    <t>Jeremy Michael</t>
  </si>
  <si>
    <t>MD / Global Head</t>
  </si>
  <si>
    <t>Natural Resources</t>
  </si>
  <si>
    <t>jeremy.michael@barclayscapital.com</t>
  </si>
  <si>
    <t xml:space="preserve">Howard House </t>
  </si>
  <si>
    <t xml:space="preserve">MD </t>
  </si>
  <si>
    <t>Greenhill</t>
  </si>
  <si>
    <t>Unknown</t>
  </si>
  <si>
    <t>howard.house@greenhill.com</t>
  </si>
  <si>
    <t xml:space="preserve">Non existent </t>
  </si>
  <si>
    <t>Chris Getz</t>
  </si>
  <si>
    <t>Mizuho</t>
  </si>
  <si>
    <t>chris.getz@mizuhogroup.com</t>
  </si>
  <si>
    <t>Don't email he directed Analyst to me (Grey Bianca)</t>
  </si>
  <si>
    <t>Jonathan Cox</t>
  </si>
  <si>
    <t>jonathan.cox@jpmorgan.com</t>
  </si>
  <si>
    <t>Chris Mize</t>
  </si>
  <si>
    <t xml:space="preserve">Morgan Stanley </t>
  </si>
  <si>
    <t>christopher.mize@morganstanley.com</t>
  </si>
  <si>
    <t>Hank Hilliard</t>
  </si>
  <si>
    <t xml:space="preserve">RBC </t>
  </si>
  <si>
    <t xml:space="preserve">Unknown </t>
  </si>
  <si>
    <t>Hank.hilliard@rbccn.com</t>
  </si>
  <si>
    <t>Rob Pierce</t>
  </si>
  <si>
    <t xml:space="preserve">Toronto Dominion </t>
  </si>
  <si>
    <t>Rob.pierce@tdsecurities.com</t>
  </si>
  <si>
    <t>Sonu Johl</t>
  </si>
  <si>
    <t xml:space="preserve">Director </t>
  </si>
  <si>
    <t xml:space="preserve">Raymond Jones </t>
  </si>
  <si>
    <t>Chris - Senior Refferal</t>
  </si>
  <si>
    <t>Sonu.johl@raymondjames.com</t>
  </si>
  <si>
    <t>Warner Friend - more to come</t>
  </si>
  <si>
    <t xml:space="preserve">Keaton Kruzcosa </t>
  </si>
  <si>
    <t>Piper Sandler</t>
  </si>
  <si>
    <t xml:space="preserve">Joseph - Candelario </t>
  </si>
  <si>
    <t xml:space="preserve">Kevin Stephen's </t>
  </si>
  <si>
    <t>Los Angeles</t>
  </si>
  <si>
    <t>Zoe</t>
  </si>
  <si>
    <t>Financial Sponsors</t>
  </si>
  <si>
    <t>kstephens@hl.com</t>
  </si>
  <si>
    <t>Tuesday (1/30) @ 12 pm ct</t>
  </si>
  <si>
    <t>Mat Young</t>
  </si>
  <si>
    <t>Carrie Refferal</t>
  </si>
  <si>
    <t>Power</t>
  </si>
  <si>
    <t>email</t>
  </si>
  <si>
    <t>mathew.young@citi.com</t>
  </si>
  <si>
    <t>Reffered by Carrie Houston Citi - times proposed</t>
  </si>
  <si>
    <t>CELL CALL (469) 834-1618</t>
  </si>
  <si>
    <t>Friday (1/26) @ 2 m ct</t>
  </si>
  <si>
    <t xml:space="preserve">Grant Gillespie </t>
  </si>
  <si>
    <t>Unsure (reached out to me)</t>
  </si>
  <si>
    <t xml:space="preserve">email </t>
  </si>
  <si>
    <t>Grant.Gillespie@morganstanley.com</t>
  </si>
  <si>
    <t>Thursday (1/25) @ 5 pm ct</t>
  </si>
  <si>
    <t xml:space="preserve">David Talbot </t>
  </si>
  <si>
    <t xml:space="preserve">Analyat </t>
  </si>
  <si>
    <t>Raymond Jones</t>
  </si>
  <si>
    <t>Sonu- Chris refferal</t>
  </si>
  <si>
    <t>David.Talbot@raymondjames.com</t>
  </si>
  <si>
    <t>Wednesday (1/24) 3:30 pm ct</t>
  </si>
  <si>
    <t xml:space="preserve">Ethan Marnhout </t>
  </si>
  <si>
    <t>San Francisco</t>
  </si>
  <si>
    <t>Josh Gumm Refferal</t>
  </si>
  <si>
    <t xml:space="preserve">Fintech </t>
  </si>
  <si>
    <t>(ethan.marnhout@ftpartners.com</t>
  </si>
  <si>
    <t xml:space="preserve">Houston IB -&gt; FT partners San Francisco </t>
  </si>
  <si>
    <t xml:space="preserve">Email bumped - confirmed </t>
  </si>
  <si>
    <t>Friday (2/1) @ 11:30 am CT</t>
  </si>
  <si>
    <t>JPM</t>
  </si>
  <si>
    <t>Chris Refferal</t>
  </si>
  <si>
    <t>Tuesday (1/23) @ 6pm</t>
  </si>
  <si>
    <t xml:space="preserve">Danny Shin </t>
  </si>
  <si>
    <t>`</t>
  </si>
  <si>
    <t>Kate Borden Refferal</t>
  </si>
  <si>
    <t xml:space="preserve">CFR </t>
  </si>
  <si>
    <t>danny.shin@hl.com</t>
  </si>
  <si>
    <t>Hardass</t>
  </si>
  <si>
    <t>Dates proposed</t>
  </si>
  <si>
    <t xml:space="preserve">Nolan D'Souza </t>
  </si>
  <si>
    <t>Intrepid</t>
  </si>
  <si>
    <t>Gary Refferal</t>
  </si>
  <si>
    <t>nolandsouza@utexas.edu</t>
  </si>
  <si>
    <t>Ka Homie / TRY AND FIND INTREPID EMAIL</t>
  </si>
  <si>
    <t>Raleigh David</t>
  </si>
  <si>
    <t xml:space="preserve">Raymond James </t>
  </si>
  <si>
    <t>KA? David T. Refferal</t>
  </si>
  <si>
    <t xml:space="preserve">Grace Steelman </t>
  </si>
  <si>
    <t>Analyst</t>
  </si>
  <si>
    <t>Doug Refferal</t>
  </si>
  <si>
    <t>jay.klein@barclays.com</t>
  </si>
  <si>
    <t xml:space="preserve">10:30 am Central </t>
  </si>
  <si>
    <t xml:space="preserve">Jay Klain </t>
  </si>
  <si>
    <t xml:space="preserve">grace.steelman@barclays.com </t>
  </si>
  <si>
    <t>Sean Kang</t>
  </si>
  <si>
    <t>Analyst/UNSURE</t>
  </si>
  <si>
    <t>Kyle Gunninson</t>
  </si>
  <si>
    <t>Director</t>
  </si>
  <si>
    <t>UT Austin</t>
  </si>
  <si>
    <t>Kyle.Gunnison@raymondjames.com</t>
  </si>
  <si>
    <t>Kammeh Valliani</t>
  </si>
  <si>
    <t>New york</t>
  </si>
  <si>
    <t>kvalliani@jefferies.com</t>
  </si>
  <si>
    <t>Katrina Yuzefpolsky</t>
  </si>
  <si>
    <t xml:space="preserve">Recruiter? </t>
  </si>
  <si>
    <t>K-1</t>
  </si>
  <si>
    <t xml:space="preserve">Manhattan </t>
  </si>
  <si>
    <t>Proximit</t>
  </si>
  <si>
    <t>PE</t>
  </si>
  <si>
    <t>kyuzefpolsky@k1ops.com</t>
  </si>
  <si>
    <t>Bank Applications</t>
  </si>
  <si>
    <t xml:space="preserve">Submitted </t>
  </si>
  <si>
    <t>Houlihan LA Corp Fin CFR</t>
  </si>
  <si>
    <t xml:space="preserve">submitted </t>
  </si>
  <si>
    <t>Morgan Stanley Hou</t>
  </si>
  <si>
    <t>JPM Chase</t>
  </si>
  <si>
    <t>Aeris Partners SF</t>
  </si>
  <si>
    <t xml:space="preserve">Submiteed </t>
  </si>
  <si>
    <t xml:space="preserve">Houlihan NY Corp Finance </t>
  </si>
  <si>
    <t xml:space="preserve">Submited </t>
  </si>
  <si>
    <t>Moelis LA</t>
  </si>
  <si>
    <t>Ft Partners</t>
  </si>
  <si>
    <t>BofA (NY, SF, CHI)</t>
  </si>
  <si>
    <t>Submiteed</t>
  </si>
  <si>
    <t>Barclays NY</t>
  </si>
  <si>
    <t>JonathanNachman</t>
  </si>
  <si>
    <t xml:space="preserve">Barclays LA </t>
  </si>
  <si>
    <t>Barclays SF</t>
  </si>
  <si>
    <t xml:space="preserve">Barclays Chi </t>
  </si>
  <si>
    <t>Wells Fargo (NY, SF, LA)</t>
  </si>
  <si>
    <t>UBS  (NY, CHI, SF)</t>
  </si>
  <si>
    <t>Citi (NY, LA, Sf, Chi)</t>
  </si>
  <si>
    <t>Baird Tampa</t>
  </si>
  <si>
    <t>jnahman17@gmail.com</t>
  </si>
  <si>
    <t xml:space="preserve">AGC Boston </t>
  </si>
  <si>
    <t>submitted</t>
  </si>
  <si>
    <t xml:space="preserve">RBC New York </t>
  </si>
  <si>
    <t xml:space="preserve">DC Advisory </t>
  </si>
  <si>
    <t xml:space="preserve">Union Square Advisors </t>
  </si>
  <si>
    <t xml:space="preserve">Loop Capital </t>
  </si>
  <si>
    <t xml:space="preserve">Duetsche SF </t>
  </si>
  <si>
    <t>HSBC</t>
  </si>
  <si>
    <t xml:space="preserve">Harris Williams </t>
  </si>
  <si>
    <t xml:space="preserve">Oppenheimer </t>
  </si>
  <si>
    <t xml:space="preserve">Bestmere venture partners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</si>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</sst>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(&quot;0&quot;)&quot;"/>
    <numFmt numFmtId="165" formatCode="m/d/yy"/>
    <numFmt numFmtId="166" formatCode="m/d/yyyy"/>
    <numFmt numFmtId="167" formatCode="dddd m/d"/>
  </numFmts>
  <fonts count="44">
    <font>
      <sz val="10.0"/>
      <color theme="1"/>
      <name val="Arial"/>
      <scheme val="minor"/>
    </font>
    <font>
      <color theme="1"/>
      <name val="Times New Roman"/>
    </font>
    <font>
      <i/>
      <sz val="10.0"/>
      <color theme="1"/>
      <name val="Arial"/>
    </font>
    <font>
      <b/>
      <u/>
      <sz val="10.0"/>
      <color theme="0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b/>
      <u/>
      <sz val="10.0"/>
      <color theme="0"/>
      <name val="Times New Roman"/>
    </font>
    <font>
      <sz val="10.0"/>
      <color rgb="FF000000"/>
      <name val="Arial"/>
    </font>
    <font>
      <b/>
      <i/>
      <u/>
      <sz val="11.0"/>
      <color theme="1"/>
      <name val="Times New Roman"/>
    </font>
    <font>
      <b/>
      <i/>
      <sz val="10.0"/>
      <color theme="1"/>
      <name val="Arial"/>
    </font>
    <font>
      <sz val="10.0"/>
      <color theme="1"/>
      <name val="Times New Roman"/>
    </font>
    <font>
      <b/>
      <sz val="11.0"/>
      <color theme="1"/>
      <name val="Times New Roman"/>
    </font>
    <font>
      <u/>
      <sz val="10.0"/>
      <color rgb="FF0000FF"/>
      <name val="Arial"/>
    </font>
    <font>
      <u/>
      <sz val="10.0"/>
      <color theme="10"/>
      <name val="Arial"/>
    </font>
    <font>
      <sz val="10.0"/>
      <color rgb="FFBF9000"/>
      <name val="Times New Roman"/>
    </font>
    <font>
      <sz val="10.0"/>
      <color rgb="FFC00000"/>
      <name val="Times New Roman"/>
    </font>
    <font>
      <b/>
      <sz val="10.0"/>
      <color theme="1"/>
      <name val="Times New Roman"/>
    </font>
    <font>
      <b/>
      <u/>
      <sz val="10.0"/>
      <color theme="0"/>
      <name val="Times New Roman"/>
    </font>
    <font>
      <b/>
      <u/>
      <sz val="10.0"/>
      <color theme="0"/>
      <name val="Times New Roman"/>
    </font>
    <font>
      <b/>
      <u/>
      <sz val="10.0"/>
      <color rgb="FFFFFFFF"/>
      <name val="Times New Roman"/>
    </font>
    <font>
      <b/>
      <sz val="10.0"/>
      <color theme="0"/>
      <name val="Times New Roman"/>
    </font>
    <font>
      <i/>
      <sz val="10.0"/>
      <color theme="1"/>
      <name val="Times New Roman"/>
    </font>
    <font>
      <i/>
      <u/>
      <sz val="10.0"/>
      <color rgb="FF0000FF"/>
      <name val="Times New Roman"/>
    </font>
    <font>
      <sz val="11.0"/>
      <color rgb="FF222222"/>
      <name val="Times New Roman"/>
    </font>
    <font>
      <u/>
      <color rgb="FF0000FF"/>
      <name val="Times New Roman"/>
    </font>
    <font>
      <color rgb="FF000000"/>
      <name val="Times New Roman"/>
    </font>
    <font>
      <color rgb="FF1F1F1F"/>
      <name val="Times New Roman"/>
    </font>
    <font>
      <color rgb="FF000000"/>
      <name val="&quot;Times New Roman&quot;"/>
    </font>
    <font>
      <color rgb="FF5E5E5E"/>
      <name val="Times New Roman"/>
    </font>
    <font>
      <u/>
      <color rgb="FF5E5E5E"/>
      <name val="Times New Roman"/>
    </font>
    <font>
      <sz val="10.0"/>
      <color rgb="FF000000"/>
      <name val="Times New Roman"/>
    </font>
    <font>
      <sz val="9.0"/>
      <color rgb="FF5E5E5E"/>
      <name val="Times New Roman"/>
    </font>
    <font>
      <color rgb="FF222222"/>
      <name val="Times New Roman"/>
    </font>
    <font>
      <sz val="11.0"/>
      <color rgb="FF222222"/>
      <name val="&quot;Google Sans&quot;"/>
    </font>
    <font>
      <sz val="13.0"/>
      <color theme="1"/>
      <name val="Arial"/>
    </font>
    <font>
      <u/>
      <color rgb="FF0563C1"/>
      <name val="&quot;Times New Roman&quot;"/>
    </font>
    <font>
      <color rgb="FF5E5E5E"/>
      <name val="&quot;Google Sans&quot;"/>
    </font>
    <font>
      <u/>
      <color rgb="FF1155CC"/>
      <name val="Arial"/>
    </font>
    <font>
      <u/>
      <color rgb="FF5E5E5E"/>
      <name val="&quot;Google Sans&quot;"/>
    </font>
    <font>
      <u/>
      <sz val="11.0"/>
      <color rgb="FF0000FF"/>
      <name val="-apple-system"/>
    </font>
    <font>
      <sz val="11.0"/>
      <color rgb="FF5E5E5E"/>
      <name val="&quot;Google Sans&quot;"/>
    </font>
    <font>
      <b/>
      <color theme="1"/>
      <name val="Times New Roman"/>
    </font>
    <font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264D82"/>
        <bgColor rgb="FF264D82"/>
      </patternFill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FF9393"/>
        <bgColor rgb="FFFF9393"/>
      </patternFill>
    </fill>
    <fill>
      <patternFill patternType="solid">
        <fgColor rgb="FFA8D08D"/>
        <bgColor rgb="FFA8D08D"/>
      </patternFill>
    </fill>
    <fill>
      <patternFill patternType="solid">
        <fgColor rgb="FFCC99FF"/>
        <bgColor rgb="FFCC99FF"/>
      </patternFill>
    </fill>
    <fill>
      <patternFill patternType="solid">
        <fgColor rgb="FFF4B083"/>
        <bgColor rgb="FFF4B08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3">
    <border/>
    <border>
      <left/>
      <right/>
      <top/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3" fontId="4" numFmtId="0" xfId="0" applyBorder="1" applyFill="1" applyFont="1"/>
    <xf borderId="2" fillId="3" fontId="5" numFmtId="0" xfId="0" applyBorder="1" applyFill="1" applyFont="1"/>
    <xf borderId="0" fillId="0" fontId="6" numFmtId="0" xfId="0" applyFont="1"/>
    <xf borderId="0" fillId="0" fontId="5" numFmtId="0" xfId="0" applyFont="1"/>
    <xf borderId="1" fillId="2" fontId="7" numFmtId="0" xfId="0" applyAlignment="1" applyBorder="1" applyFill="1" applyFont="1">
      <alignment horizontal="center"/>
    </xf>
    <xf borderId="0" fillId="0" fontId="8" numFmtId="0" xfId="0" applyFont="1"/>
    <xf borderId="0" fillId="4" fontId="9" numFmtId="0" xfId="0" applyFill="1" applyFont="1"/>
    <xf borderId="0" fillId="0" fontId="10" numFmtId="0" xfId="0" applyFont="1"/>
    <xf borderId="1" fillId="5" fontId="11" numFmtId="0" xfId="0" applyBorder="1" applyFill="1" applyFont="1"/>
    <xf borderId="0" fillId="4" fontId="12" numFmtId="0" xfId="0" applyFill="1" applyFont="1"/>
    <xf borderId="1" fillId="6" fontId="11" numFmtId="0" xfId="0" applyBorder="1" applyFill="1" applyFont="1"/>
    <xf borderId="0" fillId="0" fontId="13" numFmtId="0" xfId="0" applyFont="1"/>
    <xf borderId="1" fillId="7" fontId="11" numFmtId="0" xfId="0" applyBorder="1" applyFill="1" applyFont="1"/>
    <xf borderId="1" fillId="8" fontId="11" numFmtId="0" xfId="0" applyBorder="1" applyFill="1" applyFont="1"/>
    <xf borderId="0" fillId="0" fontId="14" numFmtId="0" xfId="0" applyFont="1"/>
    <xf borderId="1" fillId="9" fontId="11" numFmtId="0" xfId="0" applyBorder="1" applyFill="1" applyFont="1"/>
    <xf borderId="1" fillId="10" fontId="11" numFmtId="0" xfId="0" applyBorder="1" applyFill="1" applyFont="1"/>
    <xf borderId="0" fillId="0" fontId="15" numFmtId="0" xfId="0" applyFont="1"/>
    <xf borderId="0" fillId="0" fontId="16" numFmtId="0" xfId="0" applyFont="1"/>
    <xf borderId="0" fillId="0" fontId="11" numFmtId="0" xfId="0" applyFont="1"/>
    <xf borderId="0" fillId="4" fontId="1" numFmtId="0" xfId="0" applyFill="1" applyFont="1"/>
    <xf borderId="0" fillId="11" fontId="17" numFmtId="0" xfId="0" applyAlignment="1" applyFill="1" applyFont="1">
      <alignment readingOrder="0"/>
    </xf>
    <xf borderId="0" fillId="0" fontId="17" numFmtId="164" xfId="0" applyFont="1" applyNumberFormat="1"/>
    <xf borderId="0" fillId="0" fontId="11" numFmtId="9" xfId="0" applyFont="1" applyNumberFormat="1"/>
    <xf borderId="0" fillId="12" fontId="17" numFmtId="0" xfId="0" applyAlignment="1" applyFill="1" applyFont="1">
      <alignment readingOrder="0"/>
    </xf>
    <xf borderId="0" fillId="0" fontId="17" numFmtId="0" xfId="0" applyFont="1"/>
    <xf borderId="1" fillId="2" fontId="18" numFmtId="0" xfId="0" applyBorder="1" applyFill="1" applyFont="1"/>
    <xf borderId="1" fillId="2" fontId="19" numFmtId="14" xfId="0" applyBorder="1" applyFill="1" applyFont="1" applyNumberFormat="1"/>
    <xf borderId="1" fillId="2" fontId="20" numFmtId="0" xfId="0" applyAlignment="1" applyBorder="1" applyFill="1" applyFont="1">
      <alignment readingOrder="0" shrinkToFit="0" wrapText="0"/>
    </xf>
    <xf borderId="0" fillId="0" fontId="21" numFmtId="0" xfId="0" applyFont="1"/>
    <xf borderId="0" fillId="13" fontId="22" numFmtId="0" xfId="0" applyAlignment="1" applyFill="1" applyFont="1">
      <alignment readingOrder="0" shrinkToFit="0" wrapText="1"/>
    </xf>
    <xf borderId="0" fillId="0" fontId="22" numFmtId="0" xfId="0" applyAlignment="1" applyFont="1">
      <alignment readingOrder="0" shrinkToFit="0" wrapText="1"/>
    </xf>
    <xf borderId="0" fillId="0" fontId="22" numFmtId="0" xfId="0" applyAlignment="1" applyFont="1">
      <alignment shrinkToFit="0" wrapText="1"/>
    </xf>
    <xf borderId="0" fillId="0" fontId="23" numFmtId="0" xfId="0" applyAlignment="1" applyFont="1">
      <alignment readingOrder="0" shrinkToFit="0" wrapText="1"/>
    </xf>
    <xf borderId="0" fillId="0" fontId="22" numFmtId="165" xfId="0" applyAlignment="1" applyFont="1" applyNumberForma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14" fontId="24" numFmtId="0" xfId="0" applyAlignment="1" applyFill="1" applyFont="1">
      <alignment readingOrder="0"/>
    </xf>
    <xf borderId="0" fillId="0" fontId="1" numFmtId="0" xfId="0" applyFont="1"/>
    <xf borderId="0" fillId="0" fontId="25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14" fontId="26" numFmtId="0" xfId="0" applyAlignment="1" applyFill="1" applyFont="1">
      <alignment horizontal="left" readingOrder="0"/>
    </xf>
    <xf borderId="0" fillId="0" fontId="1" numFmtId="166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14" fontId="27" numFmtId="0" xfId="0" applyAlignment="1" applyFill="1" applyFont="1">
      <alignment horizontal="left" readingOrder="0"/>
    </xf>
    <xf borderId="0" fillId="15" fontId="1" numFmtId="0" xfId="0" applyAlignment="1" applyFill="1" applyFont="1">
      <alignment readingOrder="0"/>
    </xf>
    <xf borderId="0" fillId="5" fontId="24" numFmtId="0" xfId="0" applyAlignment="1" applyFill="1" applyFont="1">
      <alignment readingOrder="0"/>
    </xf>
    <xf borderId="0" fillId="14" fontId="28" numFmtId="0" xfId="0" applyAlignment="1" applyFill="1" applyFont="1">
      <alignment horizontal="left" readingOrder="0"/>
    </xf>
    <xf borderId="0" fillId="16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6" fontId="24" numFmtId="0" xfId="0" applyAlignment="1" applyFill="1" applyFont="1">
      <alignment readingOrder="0"/>
    </xf>
    <xf borderId="0" fillId="16" fontId="29" numFmtId="0" xfId="0" applyAlignment="1" applyFill="1" applyFont="1">
      <alignment horizontal="left" readingOrder="0" shrinkToFit="0" vertical="top" wrapText="0"/>
    </xf>
    <xf borderId="0" fillId="14" fontId="30" numFmtId="0" xfId="0" applyAlignment="1" applyFill="1" applyFont="1">
      <alignment horizontal="left" readingOrder="0" shrinkToFit="0" vertical="top" wrapText="0"/>
    </xf>
    <xf borderId="0" fillId="11" fontId="29" numFmtId="0" xfId="0" applyAlignment="1" applyFill="1" applyFont="1">
      <alignment horizontal="left" readingOrder="0" shrinkToFit="0" vertical="top" wrapText="0"/>
    </xf>
    <xf borderId="0" fillId="14" fontId="31" numFmtId="0" xfId="0" applyAlignment="1" applyFill="1" applyFont="1">
      <alignment readingOrder="0"/>
    </xf>
    <xf borderId="0" fillId="14" fontId="29" numFmtId="0" xfId="0" applyAlignment="1" applyFill="1" applyFont="1">
      <alignment horizontal="left" readingOrder="0" shrinkToFit="0" vertical="top" wrapText="0"/>
    </xf>
    <xf borderId="0" fillId="14" fontId="32" numFmtId="0" xfId="0" applyAlignment="1" applyFill="1" applyFont="1">
      <alignment readingOrder="0" shrinkToFit="0" wrapText="0"/>
    </xf>
    <xf borderId="0" fillId="14" fontId="33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18" fontId="1" numFmtId="0" xfId="0" applyAlignment="1" applyFill="1" applyFont="1">
      <alignment readingOrder="0"/>
    </xf>
    <xf borderId="0" fillId="14" fontId="34" numFmtId="0" xfId="0" applyAlignment="1" applyFill="1" applyFont="1">
      <alignment readingOrder="0" vertical="top"/>
    </xf>
    <xf borderId="0" fillId="0" fontId="35" numFmtId="0" xfId="0" applyAlignment="1" applyFont="1">
      <alignment readingOrder="0"/>
    </xf>
    <xf borderId="0" fillId="0" fontId="36" numFmtId="0" xfId="0" applyAlignment="1" applyFont="1">
      <alignment horizontal="left" readingOrder="0"/>
    </xf>
    <xf borderId="0" fillId="14" fontId="28" numFmtId="166" xfId="0" applyAlignment="1" applyFill="1" applyFont="1" applyNumberFormat="1">
      <alignment horizontal="left" readingOrder="0"/>
    </xf>
    <xf borderId="0" fillId="14" fontId="34" numFmtId="0" xfId="0" applyAlignment="1" applyFill="1" applyFont="1">
      <alignment readingOrder="0"/>
    </xf>
    <xf borderId="0" fillId="14" fontId="37" numFmtId="0" xfId="0" applyAlignment="1" applyFill="1" applyFont="1">
      <alignment horizontal="left" readingOrder="0" shrinkToFit="0" vertical="top" wrapText="0"/>
    </xf>
    <xf borderId="0" fillId="14" fontId="38" numFmtId="0" xfId="0" applyAlignment="1" applyFill="1" applyFont="1">
      <alignment readingOrder="0"/>
    </xf>
    <xf borderId="0" fillId="14" fontId="39" numFmtId="0" xfId="0" applyAlignment="1" applyFill="1" applyFont="1">
      <alignment horizontal="left" readingOrder="0" shrinkToFit="0" vertical="top" wrapText="0"/>
    </xf>
    <xf borderId="0" fillId="14" fontId="40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4" fontId="41" numFmtId="0" xfId="0" applyAlignment="1" applyFill="1" applyFont="1">
      <alignment readingOrder="0"/>
    </xf>
    <xf borderId="0" fillId="0" fontId="1" numFmtId="167" xfId="0" applyAlignment="1" applyFont="1" applyNumberFormat="1">
      <alignment readingOrder="0"/>
    </xf>
    <xf borderId="0" fillId="0" fontId="4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14" fontId="1" numFmtId="0" xfId="0" applyAlignment="1" applyFill="1" applyFont="1">
      <alignment readingOrder="0"/>
    </xf>
    <xf borderId="0" fillId="0" fontId="4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gillespiegrant/" TargetMode="External"/><Relationship Id="rId42" Type="http://schemas.openxmlformats.org/officeDocument/2006/relationships/hyperlink" Target="https://www.linkedin.com/in/ethan-marnhout-697757161/" TargetMode="External"/><Relationship Id="rId41" Type="http://schemas.openxmlformats.org/officeDocument/2006/relationships/hyperlink" Target="mailto:ethan.marnhout@ftpartners.com" TargetMode="External"/><Relationship Id="rId44" Type="http://schemas.openxmlformats.org/officeDocument/2006/relationships/hyperlink" Target="https://www.linkedin.com/in/ckharris/" TargetMode="External"/><Relationship Id="rId43" Type="http://schemas.openxmlformats.org/officeDocument/2006/relationships/hyperlink" Target="mailto:carson.harris@jpmorgan.com" TargetMode="External"/><Relationship Id="rId46" Type="http://schemas.openxmlformats.org/officeDocument/2006/relationships/hyperlink" Target="mailto:nolandsouza@utexas.edu" TargetMode="External"/><Relationship Id="rId45" Type="http://schemas.openxmlformats.org/officeDocument/2006/relationships/hyperlink" Target="https://www.linkedin.com/in/dshin1997/" TargetMode="External"/><Relationship Id="rId1" Type="http://schemas.openxmlformats.org/officeDocument/2006/relationships/hyperlink" Target="https://www.linkedin.com/in/joseph-candelario-07452553/" TargetMode="External"/><Relationship Id="rId2" Type="http://schemas.openxmlformats.org/officeDocument/2006/relationships/hyperlink" Target="https://www.linkedin.com/in/ryan-wheeler-003468182/" TargetMode="External"/><Relationship Id="rId3" Type="http://schemas.openxmlformats.org/officeDocument/2006/relationships/hyperlink" Target="https://www.linkedin.com/in/barbara-barman/" TargetMode="External"/><Relationship Id="rId4" Type="http://schemas.openxmlformats.org/officeDocument/2006/relationships/hyperlink" Target="https://www.linkedin.com/in/oliviahenderson31/" TargetMode="External"/><Relationship Id="rId9" Type="http://schemas.openxmlformats.org/officeDocument/2006/relationships/hyperlink" Target="https://www.linkedin.com/in/samsusser/" TargetMode="External"/><Relationship Id="rId48" Type="http://schemas.openxmlformats.org/officeDocument/2006/relationships/hyperlink" Target="https://www.linkedin.com/in/grace-steelman-b8aa8a180/" TargetMode="External"/><Relationship Id="rId47" Type="http://schemas.openxmlformats.org/officeDocument/2006/relationships/hyperlink" Target="https://www.linkedin.com/in/nolan-d%E2%80%99souza-06bb461b6/" TargetMode="External"/><Relationship Id="rId49" Type="http://schemas.openxmlformats.org/officeDocument/2006/relationships/hyperlink" Target="https://www.linkedin.com/in/jayklein1/" TargetMode="External"/><Relationship Id="rId5" Type="http://schemas.openxmlformats.org/officeDocument/2006/relationships/hyperlink" Target="https://www.linkedin.com/in/annagiesler/" TargetMode="External"/><Relationship Id="rId6" Type="http://schemas.openxmlformats.org/officeDocument/2006/relationships/hyperlink" Target="https://www.linkedin.com/in/quincysteele/" TargetMode="External"/><Relationship Id="rId7" Type="http://schemas.openxmlformats.org/officeDocument/2006/relationships/hyperlink" Target="mailto:alicewatts419@gmail.com" TargetMode="External"/><Relationship Id="rId8" Type="http://schemas.openxmlformats.org/officeDocument/2006/relationships/hyperlink" Target="https://www.linkedin.com/in/noblenash/" TargetMode="External"/><Relationship Id="rId31" Type="http://schemas.openxmlformats.org/officeDocument/2006/relationships/hyperlink" Target="https://www.linkedin.com/in/brad-hutchinson-569702139/" TargetMode="External"/><Relationship Id="rId30" Type="http://schemas.openxmlformats.org/officeDocument/2006/relationships/hyperlink" Target="https://www.linkedin.com/in/wjrob/" TargetMode="External"/><Relationship Id="rId33" Type="http://schemas.openxmlformats.org/officeDocument/2006/relationships/hyperlink" Target="https://www.linkedin.com/in/chris-getz-b401b8158/" TargetMode="External"/><Relationship Id="rId32" Type="http://schemas.openxmlformats.org/officeDocument/2006/relationships/hyperlink" Target="https://www.linkedin.com/in/jeremy-michael-053695184/" TargetMode="External"/><Relationship Id="rId35" Type="http://schemas.openxmlformats.org/officeDocument/2006/relationships/hyperlink" Target="https://www.linkedin.com/in/christopher-mize-698083b3/" TargetMode="External"/><Relationship Id="rId34" Type="http://schemas.openxmlformats.org/officeDocument/2006/relationships/hyperlink" Target="https://www.linkedin.com/in/jonathan-w-cox-87b939ba/" TargetMode="External"/><Relationship Id="rId37" Type="http://schemas.openxmlformats.org/officeDocument/2006/relationships/hyperlink" Target="https://www.linkedin.com/in/keatoncruzcosa/" TargetMode="External"/><Relationship Id="rId36" Type="http://schemas.openxmlformats.org/officeDocument/2006/relationships/hyperlink" Target="https://www.linkedin.com/in/sonujohl/" TargetMode="External"/><Relationship Id="rId39" Type="http://schemas.openxmlformats.org/officeDocument/2006/relationships/hyperlink" Target="https://www.linkedin.com/in/mathew-young-442188155/" TargetMode="External"/><Relationship Id="rId38" Type="http://schemas.openxmlformats.org/officeDocument/2006/relationships/hyperlink" Target="https://www.linkedin.com/in/kevin-stephens-hl?utm_source=share&amp;utm_campaign=share_via&amp;utm_content=profile&amp;utm_medium=ios_app" TargetMode="External"/><Relationship Id="rId20" Type="http://schemas.openxmlformats.org/officeDocument/2006/relationships/hyperlink" Target="https://www.linkedin.com/in/stevemclaughlinftpartners/" TargetMode="External"/><Relationship Id="rId22" Type="http://schemas.openxmlformats.org/officeDocument/2006/relationships/hyperlink" Target="https://www.linkedin.com/in/nickgerstein/" TargetMode="External"/><Relationship Id="rId21" Type="http://schemas.openxmlformats.org/officeDocument/2006/relationships/hyperlink" Target="https://www.linkedin.com/in/turner-gauntt-7034b8161/" TargetMode="External"/><Relationship Id="rId24" Type="http://schemas.openxmlformats.org/officeDocument/2006/relationships/hyperlink" Target="https://www.linkedin.com/in/carriecruces/" TargetMode="External"/><Relationship Id="rId23" Type="http://schemas.openxmlformats.org/officeDocument/2006/relationships/hyperlink" Target="mailto:carrie.cruces@citi.com" TargetMode="External"/><Relationship Id="rId26" Type="http://schemas.openxmlformats.org/officeDocument/2006/relationships/hyperlink" Target="https://www.linkedin.com/in/ckharris/" TargetMode="External"/><Relationship Id="rId25" Type="http://schemas.openxmlformats.org/officeDocument/2006/relationships/hyperlink" Target="https://www.linkedin.com/in/grey-bianca/" TargetMode="External"/><Relationship Id="rId28" Type="http://schemas.openxmlformats.org/officeDocument/2006/relationships/hyperlink" Target="https://www.linkedin.com/in/keatoncruzcosa/" TargetMode="External"/><Relationship Id="rId27" Type="http://schemas.openxmlformats.org/officeDocument/2006/relationships/hyperlink" Target="https://www.linkedin.com/in/john-sellingsloh-78a591108/" TargetMode="External"/><Relationship Id="rId29" Type="http://schemas.openxmlformats.org/officeDocument/2006/relationships/hyperlink" Target="https://www.linkedin.com/in/gary-lee-horton/" TargetMode="External"/><Relationship Id="rId51" Type="http://schemas.openxmlformats.org/officeDocument/2006/relationships/hyperlink" Target="https://www.linkedin.com/in/kyle-gunnison-22475323/" TargetMode="External"/><Relationship Id="rId50" Type="http://schemas.openxmlformats.org/officeDocument/2006/relationships/hyperlink" Target="https://www.linkedin.com/in/seanyoonkang/" TargetMode="External"/><Relationship Id="rId53" Type="http://schemas.openxmlformats.org/officeDocument/2006/relationships/hyperlink" Target="https://www.linkedin.com/in/katrina-yuzefpolsky/" TargetMode="External"/><Relationship Id="rId52" Type="http://schemas.openxmlformats.org/officeDocument/2006/relationships/hyperlink" Target="https://www.linkedin.com/in/kameeshvalliani/" TargetMode="External"/><Relationship Id="rId11" Type="http://schemas.openxmlformats.org/officeDocument/2006/relationships/hyperlink" Target="https://www.linkedin.com/in/kathryn-dzierzanowski-26a891171/" TargetMode="External"/><Relationship Id="rId10" Type="http://schemas.openxmlformats.org/officeDocument/2006/relationships/hyperlink" Target="https://www.linkedin.com/in/victoria-daly-a504b215b/?originalSubdomain=uk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www.linkedin.com/in/sam-ward-109009a1/" TargetMode="External"/><Relationship Id="rId12" Type="http://schemas.openxmlformats.org/officeDocument/2006/relationships/hyperlink" Target="https://www.linkedin.com/in/douglasmelsheimer/" TargetMode="External"/><Relationship Id="rId15" Type="http://schemas.openxmlformats.org/officeDocument/2006/relationships/hyperlink" Target="https://www.linkedin.com/in/nicholas-perez-1477a2151/" TargetMode="External"/><Relationship Id="rId14" Type="http://schemas.openxmlformats.org/officeDocument/2006/relationships/hyperlink" Target="https://www.linkedin.com/in/lukeskelly/" TargetMode="External"/><Relationship Id="rId17" Type="http://schemas.openxmlformats.org/officeDocument/2006/relationships/hyperlink" Target="https://www.linkedin.com/in/joshua-gumm/" TargetMode="External"/><Relationship Id="rId16" Type="http://schemas.openxmlformats.org/officeDocument/2006/relationships/hyperlink" Target="https://www.linkedin.com/in/michael-liou95/" TargetMode="External"/><Relationship Id="rId19" Type="http://schemas.openxmlformats.org/officeDocument/2006/relationships/hyperlink" Target="https://www.linkedin.com/in/humberto-zamorano-1233151b1/" TargetMode="External"/><Relationship Id="rId18" Type="http://schemas.openxmlformats.org/officeDocument/2006/relationships/hyperlink" Target="https://www.linkedin.com/in/michael-giaquinto-79041b20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flast@centerviewpartners.com" TargetMode="External"/><Relationship Id="rId2" Type="http://schemas.openxmlformats.org/officeDocument/2006/relationships/hyperlink" Target="mailto:first.last@rbc.com" TargetMode="External"/><Relationship Id="rId3" Type="http://schemas.openxmlformats.org/officeDocument/2006/relationships/hyperlink" Target="mailto:first.last@wellsfargo.com" TargetMode="External"/><Relationship Id="rId4" Type="http://schemas.openxmlformats.org/officeDocument/2006/relationships/hyperlink" Target="mailto:flast@jefferies.com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mailto:first.last@macquaire.com" TargetMode="External"/><Relationship Id="rId6" Type="http://schemas.openxmlformats.org/officeDocument/2006/relationships/hyperlink" Target="mailto:flast@pwpartners.com" TargetMode="External"/><Relationship Id="rId7" Type="http://schemas.openxmlformats.org/officeDocument/2006/relationships/hyperlink" Target="mailto:first.last@qatalyst.com" TargetMode="External"/><Relationship Id="rId8" Type="http://schemas.openxmlformats.org/officeDocument/2006/relationships/hyperlink" Target="mailto:last@pjtpartn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5.88"/>
    <col customWidth="1" min="3" max="3" width="24.5"/>
    <col customWidth="1" min="4" max="4" width="18.38"/>
    <col customWidth="1" hidden="1" min="5" max="5" width="15.0"/>
    <col customWidth="1" hidden="1" min="6" max="6" width="18.63"/>
    <col customWidth="1" hidden="1" min="7" max="7" width="25.13"/>
    <col customWidth="1" min="8" max="8" width="33.38"/>
    <col customWidth="1" hidden="1" min="9" max="9" width="15.88"/>
    <col customWidth="1" min="10" max="10" width="35.38"/>
    <col customWidth="1" min="11" max="11" width="20.88"/>
    <col customWidth="1" min="12" max="12" width="16.63"/>
    <col customWidth="1" min="13" max="13" width="17.5"/>
    <col customWidth="1" min="14" max="15" width="8.88"/>
    <col customWidth="1" min="16" max="16" width="19.75"/>
    <col customWidth="1" min="17" max="17" width="20.75"/>
    <col customWidth="1" min="18" max="18" width="23.38"/>
    <col customWidth="1" min="19" max="33" width="8.88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2.0" customHeight="1">
      <c r="A2" s="8" t="s">
        <v>4</v>
      </c>
      <c r="B2" s="1"/>
      <c r="C2" s="1"/>
      <c r="D2" s="10" t="s">
        <v>7</v>
      </c>
      <c r="E2" s="10" t="s">
        <v>10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2.0" customHeight="1">
      <c r="A3" s="12" t="s">
        <v>23</v>
      </c>
      <c r="B3" s="1"/>
      <c r="C3" s="1"/>
      <c r="D3" s="13" t="str">
        <f>"Goldman Sachs: " &amp; COUNTIF($C$17:$C$99942, "Goldman Sachs")</f>
        <v>Goldman Sachs: 0</v>
      </c>
      <c r="E3" s="13" t="str">
        <f>"Evercore: " &amp; COUNTIF($C$17:$C$99942, "Evercore")</f>
        <v>Evercore: 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2.0" customHeight="1">
      <c r="A4" s="14" t="s">
        <v>36</v>
      </c>
      <c r="B4" s="1"/>
      <c r="C4" s="1"/>
      <c r="D4" s="13" t="str">
        <f>"Morgan Stanley: " &amp; COUNTIF($C$17:$C$99942, "Morgan Stanley")</f>
        <v>Morgan Stanley: 2</v>
      </c>
      <c r="E4" s="13" t="str">
        <f>"PJT: " &amp; COUNTIF($C$17:$C$99942, "PJT")</f>
        <v>PJT: 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12.0" customHeight="1">
      <c r="A5" s="16" t="s">
        <v>47</v>
      </c>
      <c r="B5" s="1"/>
      <c r="C5" s="1"/>
      <c r="D5" s="13" t="str">
        <f>"Bank of America: " &amp; COUNTIF($C$17:$C$99942, "Bank of America")</f>
        <v>Bank of America: 0</v>
      </c>
      <c r="E5" s="13" t="str">
        <f>"Lazard: " &amp; COUNTIF($C$17:$C$99942, "Lazard")</f>
        <v>Lazard: 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2.0" customHeight="1">
      <c r="A6" s="17" t="s">
        <v>60</v>
      </c>
      <c r="B6" s="1"/>
      <c r="C6" s="1"/>
      <c r="D6" s="13" t="str">
        <f>"J.P. Morgan: " &amp; COUNTIF($C$17:$C$99942, "J.P. Morgan")</f>
        <v>J.P. Morgan: 0</v>
      </c>
      <c r="E6" s="13" t="str">
        <f>"Rothschild: " &amp; COUNTIF($C$17:$C$99942, "Rothschild")</f>
        <v>Rothschild: 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2.0" customHeight="1">
      <c r="A7" s="19" t="s">
        <v>69</v>
      </c>
      <c r="B7" s="1"/>
      <c r="C7" s="1"/>
      <c r="D7" s="13" t="str">
        <f>"Credit Suisse: " &amp; COUNTIF($C$17:$C$99942, "Credit Suisse")</f>
        <v>Credit Suisse: 0</v>
      </c>
      <c r="E7" s="13" t="str">
        <f>"PWP: " &amp; COUNTIF($C$17:$C$99942, "PWP")</f>
        <v>PWP: 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2.0" customHeight="1">
      <c r="A8" s="20" t="s">
        <v>78</v>
      </c>
      <c r="B8" s="1"/>
      <c r="C8" s="1"/>
      <c r="D8" s="13" t="str">
        <f>"Barclays: " &amp; COUNTIF($C$17:$C$99942, "Barclays")</f>
        <v>Barclays: 1</v>
      </c>
      <c r="E8" s="13" t="str">
        <f>"Centerview: " &amp; COUNTIF($C$17:$C$99942, "Centerview Partners")</f>
        <v>Centerview: 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2.0" customHeight="1">
      <c r="A9" s="21" t="s">
        <v>79</v>
      </c>
      <c r="B9" s="1"/>
      <c r="C9" s="1"/>
      <c r="D9" s="13" t="str">
        <f>"Citi: " &amp; COUNTIF($C$17:$C$99942, "Citi")</f>
        <v>Citi: 4</v>
      </c>
      <c r="E9" s="13" t="str">
        <f>"Moelis: " &amp; COUNTIF($C$17:$C$99942, "Moelis")</f>
        <v>Moelis: 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2.0" customHeight="1">
      <c r="A10" s="22" t="s">
        <v>80</v>
      </c>
      <c r="B10" s="23"/>
      <c r="C10" s="23"/>
      <c r="D10" s="13" t="str">
        <f>"UBS: " &amp; COUNTIF($C$17:$C$99942, "UBS")</f>
        <v>UBS: 0</v>
      </c>
      <c r="E10" s="24"/>
      <c r="F10" s="1"/>
      <c r="G10" s="21"/>
      <c r="H10" s="22"/>
      <c r="I10" s="1"/>
      <c r="J10" s="23"/>
      <c r="K10" s="1"/>
      <c r="L10" s="23"/>
      <c r="M10" s="23"/>
      <c r="N10" s="2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12.0" customHeight="1">
      <c r="A11" s="23" t="s">
        <v>81</v>
      </c>
      <c r="B11" s="1"/>
      <c r="C11" s="23"/>
      <c r="D11" s="1"/>
      <c r="E11" s="1"/>
      <c r="F11" s="1"/>
      <c r="G11" s="21"/>
      <c r="H11" s="22"/>
      <c r="I11" s="1"/>
      <c r="J11" s="23"/>
      <c r="K11" s="1"/>
      <c r="L11" s="23"/>
      <c r="M11" s="23"/>
      <c r="N11" s="2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2.0" customHeight="1">
      <c r="A12" s="25" t="s">
        <v>82</v>
      </c>
      <c r="B12" s="23"/>
      <c r="C12" s="26"/>
      <c r="D12" s="27"/>
      <c r="E12" s="1"/>
      <c r="F12" s="1"/>
      <c r="G12" s="21"/>
      <c r="H12" s="22"/>
      <c r="I12" s="1"/>
      <c r="J12" s="23"/>
      <c r="K12" s="1"/>
      <c r="L12" s="23"/>
      <c r="M12" s="23"/>
      <c r="N12" s="2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2.0" customHeight="1">
      <c r="A13" s="28" t="s">
        <v>83</v>
      </c>
      <c r="B13" s="23"/>
      <c r="C13" s="26"/>
      <c r="D13" s="27"/>
      <c r="E13" s="1"/>
      <c r="F13" s="1"/>
      <c r="G13" s="21"/>
      <c r="H13" s="22"/>
      <c r="I13" s="1"/>
      <c r="J13" s="23"/>
      <c r="K13" s="1"/>
      <c r="L13" s="23"/>
      <c r="M13" s="23"/>
      <c r="N13" s="2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12.0" customHeight="1">
      <c r="A14" s="29" t="s">
        <v>84</v>
      </c>
      <c r="B14" s="23"/>
      <c r="C14" s="26"/>
      <c r="D14" s="27"/>
      <c r="E14" s="1"/>
      <c r="F14" s="1"/>
      <c r="G14" s="21"/>
      <c r="H14" s="22"/>
      <c r="I14" s="1"/>
      <c r="J14" s="23"/>
      <c r="K14" s="1"/>
      <c r="L14" s="23"/>
      <c r="M14" s="23"/>
      <c r="N14" s="2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12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2.0" customHeight="1">
      <c r="A16" s="30" t="s">
        <v>85</v>
      </c>
      <c r="B16" s="30" t="s">
        <v>86</v>
      </c>
      <c r="C16" s="30" t="s">
        <v>87</v>
      </c>
      <c r="D16" s="30" t="s">
        <v>88</v>
      </c>
      <c r="E16" s="30" t="s">
        <v>89</v>
      </c>
      <c r="F16" s="30" t="s">
        <v>90</v>
      </c>
      <c r="G16" s="30" t="s">
        <v>91</v>
      </c>
      <c r="H16" s="30" t="s">
        <v>92</v>
      </c>
      <c r="I16" s="30" t="s">
        <v>93</v>
      </c>
      <c r="J16" s="30" t="s">
        <v>94</v>
      </c>
      <c r="K16" s="30" t="s">
        <v>95</v>
      </c>
      <c r="L16" s="31" t="s">
        <v>96</v>
      </c>
      <c r="M16" s="31" t="s">
        <v>97</v>
      </c>
      <c r="N16" s="32" t="s">
        <v>98</v>
      </c>
      <c r="O16" s="32" t="s">
        <v>99</v>
      </c>
      <c r="P16" s="32" t="s">
        <v>100</v>
      </c>
      <c r="Q16" s="32" t="s">
        <v>101</v>
      </c>
      <c r="R16" s="32" t="s">
        <v>102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 ht="12.0" customHeight="1">
      <c r="A17" s="34" t="s">
        <v>103</v>
      </c>
      <c r="B17" s="35" t="s">
        <v>104</v>
      </c>
      <c r="C17" s="35" t="s">
        <v>105</v>
      </c>
      <c r="D17" s="35" t="s">
        <v>106</v>
      </c>
      <c r="E17" s="35" t="s">
        <v>107</v>
      </c>
      <c r="F17" s="35" t="s">
        <v>108</v>
      </c>
      <c r="G17" s="35" t="s">
        <v>109</v>
      </c>
      <c r="H17" s="35" t="s">
        <v>110</v>
      </c>
      <c r="I17" s="36" t="s">
        <v>111</v>
      </c>
      <c r="J17" s="36" t="s">
        <v>112</v>
      </c>
      <c r="K17" s="37" t="s">
        <v>113</v>
      </c>
      <c r="L17" s="38">
        <v>45307.0</v>
      </c>
      <c r="M17" s="36" t="s">
        <v>114</v>
      </c>
      <c r="N17" s="35" t="s">
        <v>115</v>
      </c>
      <c r="O17" s="35" t="s">
        <v>115</v>
      </c>
      <c r="P17" s="35" t="s">
        <v>116</v>
      </c>
      <c r="Q17" s="39" t="s">
        <v>117</v>
      </c>
      <c r="R17" s="39" t="s">
        <v>118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</row>
    <row r="18" ht="12.0" customHeight="1">
      <c r="A18" s="40" t="s">
        <v>119</v>
      </c>
      <c r="B18" s="41" t="s">
        <v>120</v>
      </c>
      <c r="C18" s="41" t="s">
        <v>121</v>
      </c>
      <c r="D18" s="41" t="s">
        <v>106</v>
      </c>
      <c r="E18" s="41" t="s">
        <v>107</v>
      </c>
      <c r="F18" s="41" t="s">
        <v>108</v>
      </c>
      <c r="G18" s="41" t="s">
        <v>109</v>
      </c>
      <c r="H18" s="42" t="s">
        <v>122</v>
      </c>
      <c r="I18" s="43"/>
      <c r="J18" s="43"/>
      <c r="K18" s="44" t="s">
        <v>113</v>
      </c>
      <c r="L18" s="45">
        <v>45307.0</v>
      </c>
      <c r="M18" s="1"/>
      <c r="N18" s="41" t="s">
        <v>115</v>
      </c>
      <c r="O18" s="41" t="s">
        <v>123</v>
      </c>
      <c r="P18" s="1"/>
      <c r="Q18" s="39" t="s">
        <v>117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12.0" customHeight="1">
      <c r="A19" s="40" t="s">
        <v>124</v>
      </c>
      <c r="B19" s="41" t="s">
        <v>120</v>
      </c>
      <c r="C19" s="41" t="s">
        <v>125</v>
      </c>
      <c r="D19" s="41" t="s">
        <v>126</v>
      </c>
      <c r="E19" s="41" t="s">
        <v>127</v>
      </c>
      <c r="F19" s="41" t="s">
        <v>128</v>
      </c>
      <c r="G19" s="41" t="s">
        <v>109</v>
      </c>
      <c r="H19" s="42" t="s">
        <v>129</v>
      </c>
      <c r="I19" s="43"/>
      <c r="J19" s="41" t="s">
        <v>130</v>
      </c>
      <c r="K19" s="44" t="s">
        <v>113</v>
      </c>
      <c r="L19" s="45">
        <v>45307.0</v>
      </c>
      <c r="M19" s="1"/>
      <c r="N19" s="41" t="s">
        <v>115</v>
      </c>
      <c r="O19" s="41" t="s">
        <v>123</v>
      </c>
      <c r="P19" s="1"/>
      <c r="Q19" s="39" t="s">
        <v>117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2.0" customHeight="1">
      <c r="A20" s="40" t="s">
        <v>131</v>
      </c>
      <c r="B20" s="41" t="s">
        <v>120</v>
      </c>
      <c r="C20" s="41" t="s">
        <v>6</v>
      </c>
      <c r="D20" s="41" t="s">
        <v>106</v>
      </c>
      <c r="E20" s="41" t="s">
        <v>127</v>
      </c>
      <c r="F20" s="41" t="s">
        <v>128</v>
      </c>
      <c r="G20" s="41" t="s">
        <v>109</v>
      </c>
      <c r="H20" s="46" t="s">
        <v>132</v>
      </c>
      <c r="I20" s="1"/>
      <c r="J20" s="1"/>
      <c r="K20" s="44" t="s">
        <v>113</v>
      </c>
      <c r="L20" s="45">
        <v>45307.0</v>
      </c>
      <c r="M20" s="1"/>
      <c r="N20" s="41" t="s">
        <v>115</v>
      </c>
      <c r="O20" s="41" t="s">
        <v>123</v>
      </c>
      <c r="P20" s="1"/>
      <c r="Q20" s="39" t="s">
        <v>117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2.0" customHeight="1">
      <c r="A21" s="40" t="s">
        <v>133</v>
      </c>
      <c r="B21" s="41" t="s">
        <v>120</v>
      </c>
      <c r="C21" s="41" t="s">
        <v>134</v>
      </c>
      <c r="D21" s="41" t="s">
        <v>135</v>
      </c>
      <c r="E21" s="41" t="s">
        <v>127</v>
      </c>
      <c r="F21" s="41" t="s">
        <v>128</v>
      </c>
      <c r="G21" s="41" t="s">
        <v>109</v>
      </c>
      <c r="H21" s="46" t="s">
        <v>136</v>
      </c>
      <c r="I21" s="1"/>
      <c r="J21" s="1"/>
      <c r="K21" s="44" t="s">
        <v>113</v>
      </c>
      <c r="L21" s="45">
        <v>45307.0</v>
      </c>
      <c r="M21" s="1"/>
      <c r="N21" s="41" t="s">
        <v>115</v>
      </c>
      <c r="O21" s="41" t="s">
        <v>123</v>
      </c>
      <c r="P21" s="1"/>
      <c r="Q21" s="39" t="s">
        <v>117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2.0" customHeight="1">
      <c r="A22" s="40" t="s">
        <v>137</v>
      </c>
      <c r="B22" s="41" t="s">
        <v>120</v>
      </c>
      <c r="C22" s="41" t="s">
        <v>6</v>
      </c>
      <c r="D22" s="41" t="s">
        <v>138</v>
      </c>
      <c r="E22" s="41" t="s">
        <v>127</v>
      </c>
      <c r="F22" s="41" t="s">
        <v>139</v>
      </c>
      <c r="G22" s="41" t="s">
        <v>109</v>
      </c>
      <c r="H22" s="41" t="s">
        <v>140</v>
      </c>
      <c r="I22" s="1"/>
      <c r="J22" s="1"/>
      <c r="K22" s="44" t="s">
        <v>113</v>
      </c>
      <c r="L22" s="45">
        <v>45307.0</v>
      </c>
      <c r="M22" s="1"/>
      <c r="N22" s="41" t="s">
        <v>141</v>
      </c>
      <c r="O22" s="41" t="s">
        <v>123</v>
      </c>
      <c r="P22" s="1"/>
      <c r="Q22" s="39" t="s">
        <v>117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2.0" customHeight="1">
      <c r="A23" s="40" t="s">
        <v>142</v>
      </c>
      <c r="B23" s="41" t="s">
        <v>120</v>
      </c>
      <c r="C23" s="41" t="s">
        <v>143</v>
      </c>
      <c r="D23" s="41" t="s">
        <v>135</v>
      </c>
      <c r="E23" s="41" t="s">
        <v>127</v>
      </c>
      <c r="F23" s="41" t="s">
        <v>128</v>
      </c>
      <c r="G23" s="41" t="s">
        <v>109</v>
      </c>
      <c r="H23" s="41" t="s">
        <v>144</v>
      </c>
      <c r="I23" s="1"/>
      <c r="J23" s="1"/>
      <c r="K23" s="44" t="s">
        <v>113</v>
      </c>
      <c r="L23" s="45">
        <v>45307.0</v>
      </c>
      <c r="M23" s="1"/>
      <c r="N23" s="41" t="s">
        <v>115</v>
      </c>
      <c r="O23" s="41" t="s">
        <v>123</v>
      </c>
      <c r="P23" s="1"/>
      <c r="Q23" s="39" t="s">
        <v>117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2.0" customHeight="1">
      <c r="A24" s="40" t="s">
        <v>145</v>
      </c>
      <c r="B24" s="41" t="s">
        <v>120</v>
      </c>
      <c r="C24" s="41" t="s">
        <v>146</v>
      </c>
      <c r="D24" s="41" t="s">
        <v>138</v>
      </c>
      <c r="E24" s="41" t="s">
        <v>127</v>
      </c>
      <c r="F24" s="41" t="s">
        <v>128</v>
      </c>
      <c r="G24" s="41" t="s">
        <v>109</v>
      </c>
      <c r="H24" s="46" t="s">
        <v>147</v>
      </c>
      <c r="I24" s="1"/>
      <c r="J24" s="1"/>
      <c r="K24" s="44" t="s">
        <v>113</v>
      </c>
      <c r="L24" s="45">
        <v>45307.0</v>
      </c>
      <c r="M24" s="1"/>
      <c r="N24" s="41" t="s">
        <v>115</v>
      </c>
      <c r="O24" s="41" t="s">
        <v>123</v>
      </c>
      <c r="P24" s="1"/>
      <c r="Q24" s="39" t="s">
        <v>117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2.0" customHeight="1">
      <c r="A25" s="40" t="s">
        <v>148</v>
      </c>
      <c r="B25" s="41" t="s">
        <v>120</v>
      </c>
      <c r="C25" s="41" t="s">
        <v>125</v>
      </c>
      <c r="D25" s="41" t="s">
        <v>138</v>
      </c>
      <c r="E25" s="41" t="s">
        <v>127</v>
      </c>
      <c r="F25" s="41" t="s">
        <v>128</v>
      </c>
      <c r="G25" s="41" t="s">
        <v>109</v>
      </c>
      <c r="H25" s="46" t="s">
        <v>149</v>
      </c>
      <c r="I25" s="1"/>
      <c r="J25" s="1"/>
      <c r="K25" s="44" t="s">
        <v>113</v>
      </c>
      <c r="L25" s="45">
        <v>45307.0</v>
      </c>
      <c r="M25" s="1"/>
      <c r="N25" s="41" t="s">
        <v>115</v>
      </c>
      <c r="O25" s="41" t="s">
        <v>123</v>
      </c>
      <c r="P25" s="1"/>
      <c r="Q25" s="39" t="s">
        <v>117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2.0" customHeight="1">
      <c r="A26" s="40" t="s">
        <v>150</v>
      </c>
      <c r="B26" s="41" t="s">
        <v>120</v>
      </c>
      <c r="C26" s="41" t="s">
        <v>125</v>
      </c>
      <c r="D26" s="41" t="s">
        <v>151</v>
      </c>
      <c r="E26" s="41" t="s">
        <v>127</v>
      </c>
      <c r="F26" s="41" t="s">
        <v>128</v>
      </c>
      <c r="G26" s="41" t="s">
        <v>109</v>
      </c>
      <c r="H26" s="41" t="s">
        <v>152</v>
      </c>
      <c r="I26" s="1"/>
      <c r="J26" s="1"/>
      <c r="K26" s="44" t="s">
        <v>113</v>
      </c>
      <c r="L26" s="45">
        <v>45307.0</v>
      </c>
      <c r="M26" s="1"/>
      <c r="N26" s="41" t="s">
        <v>115</v>
      </c>
      <c r="O26" s="41" t="s">
        <v>123</v>
      </c>
      <c r="P26" s="1"/>
      <c r="Q26" s="39" t="s">
        <v>117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2.0" customHeight="1">
      <c r="A27" s="40" t="s">
        <v>153</v>
      </c>
      <c r="B27" s="41" t="s">
        <v>120</v>
      </c>
      <c r="C27" s="41" t="s">
        <v>154</v>
      </c>
      <c r="D27" s="41" t="s">
        <v>135</v>
      </c>
      <c r="E27" s="41" t="s">
        <v>127</v>
      </c>
      <c r="F27" s="41" t="s">
        <v>155</v>
      </c>
      <c r="G27" s="41" t="s">
        <v>109</v>
      </c>
      <c r="H27" s="41" t="s">
        <v>156</v>
      </c>
      <c r="I27" s="1"/>
      <c r="J27" s="1"/>
      <c r="K27" s="44" t="s">
        <v>113</v>
      </c>
      <c r="L27" s="45">
        <v>45307.0</v>
      </c>
      <c r="M27" s="47">
        <v>45321.0</v>
      </c>
      <c r="N27" s="41" t="s">
        <v>115</v>
      </c>
      <c r="O27" s="41" t="s">
        <v>123</v>
      </c>
      <c r="P27" s="41" t="s">
        <v>157</v>
      </c>
      <c r="Q27" s="39" t="s">
        <v>117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2.0" customHeight="1">
      <c r="A28" s="48" t="s">
        <v>158</v>
      </c>
      <c r="B28" s="41" t="s">
        <v>159</v>
      </c>
      <c r="C28" s="41" t="s">
        <v>160</v>
      </c>
      <c r="D28" s="41" t="s">
        <v>138</v>
      </c>
      <c r="E28" s="41" t="s">
        <v>161</v>
      </c>
      <c r="F28" s="41" t="s">
        <v>162</v>
      </c>
      <c r="G28" s="41" t="s">
        <v>109</v>
      </c>
      <c r="H28" s="49" t="s">
        <v>163</v>
      </c>
      <c r="I28" s="1"/>
      <c r="J28" s="41" t="s">
        <v>164</v>
      </c>
      <c r="K28" s="44" t="s">
        <v>113</v>
      </c>
      <c r="L28" s="45">
        <v>45308.0</v>
      </c>
      <c r="M28" s="1"/>
      <c r="N28" s="41" t="s">
        <v>115</v>
      </c>
      <c r="O28" s="41" t="s">
        <v>115</v>
      </c>
      <c r="P28" s="41" t="s">
        <v>165</v>
      </c>
      <c r="Q28" s="39" t="s">
        <v>117</v>
      </c>
      <c r="R28" s="41" t="s">
        <v>166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2.0" customHeight="1">
      <c r="A29" s="50" t="s">
        <v>167</v>
      </c>
      <c r="B29" s="41" t="s">
        <v>120</v>
      </c>
      <c r="C29" s="41" t="s">
        <v>168</v>
      </c>
      <c r="D29" s="41" t="s">
        <v>169</v>
      </c>
      <c r="E29" s="41" t="s">
        <v>170</v>
      </c>
      <c r="F29" s="41" t="s">
        <v>128</v>
      </c>
      <c r="G29" s="41" t="s">
        <v>92</v>
      </c>
      <c r="H29" s="41" t="s">
        <v>171</v>
      </c>
      <c r="I29" s="1"/>
      <c r="J29" s="1"/>
      <c r="K29" s="1"/>
      <c r="L29" s="47">
        <v>45308.0</v>
      </c>
      <c r="M29" s="1"/>
      <c r="N29" s="41" t="s">
        <v>115</v>
      </c>
      <c r="O29" s="41" t="s">
        <v>115</v>
      </c>
      <c r="P29" s="41" t="s">
        <v>172</v>
      </c>
      <c r="Q29" s="41" t="s">
        <v>117</v>
      </c>
      <c r="R29" s="41" t="s">
        <v>166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2.0" customHeight="1">
      <c r="A30" s="51" t="s">
        <v>173</v>
      </c>
      <c r="B30" s="41" t="s">
        <v>104</v>
      </c>
      <c r="C30" s="41" t="s">
        <v>168</v>
      </c>
      <c r="D30" s="41" t="s">
        <v>138</v>
      </c>
      <c r="E30" s="41" t="s">
        <v>174</v>
      </c>
      <c r="F30" s="41" t="s">
        <v>175</v>
      </c>
      <c r="G30" s="1"/>
      <c r="H30" s="42" t="s">
        <v>173</v>
      </c>
      <c r="I30" s="1"/>
      <c r="J30" s="1"/>
      <c r="K30" s="44" t="s">
        <v>113</v>
      </c>
      <c r="L30" s="47">
        <v>45308.0</v>
      </c>
      <c r="M30" s="1"/>
      <c r="N30" s="41" t="s">
        <v>115</v>
      </c>
      <c r="O30" s="41" t="s">
        <v>123</v>
      </c>
      <c r="P30" s="1"/>
      <c r="Q30" s="41" t="s">
        <v>176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2.0" customHeight="1">
      <c r="A31" s="40" t="s">
        <v>177</v>
      </c>
      <c r="B31" s="41" t="s">
        <v>104</v>
      </c>
      <c r="C31" s="41" t="s">
        <v>121</v>
      </c>
      <c r="D31" s="41" t="s">
        <v>138</v>
      </c>
      <c r="E31" s="41" t="s">
        <v>178</v>
      </c>
      <c r="F31" s="41" t="s">
        <v>179</v>
      </c>
      <c r="G31" s="41" t="s">
        <v>109</v>
      </c>
      <c r="H31" s="42" t="s">
        <v>180</v>
      </c>
      <c r="I31" s="1"/>
      <c r="J31" s="1"/>
      <c r="K31" s="44" t="s">
        <v>113</v>
      </c>
      <c r="L31" s="47">
        <v>45308.0</v>
      </c>
      <c r="M31" s="1"/>
      <c r="N31" s="41" t="s">
        <v>115</v>
      </c>
      <c r="O31" s="41" t="s">
        <v>181</v>
      </c>
      <c r="P31" s="1"/>
      <c r="Q31" s="41" t="s">
        <v>176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2.0" customHeight="1">
      <c r="A32" s="40" t="s">
        <v>182</v>
      </c>
      <c r="B32" s="41" t="s">
        <v>120</v>
      </c>
      <c r="C32" s="41" t="s">
        <v>121</v>
      </c>
      <c r="D32" s="41" t="s">
        <v>138</v>
      </c>
      <c r="E32" s="41" t="s">
        <v>183</v>
      </c>
      <c r="F32" s="46" t="s">
        <v>184</v>
      </c>
      <c r="G32" s="41" t="s">
        <v>109</v>
      </c>
      <c r="H32" s="46" t="s">
        <v>185</v>
      </c>
      <c r="I32" s="1"/>
      <c r="J32" s="1"/>
      <c r="K32" s="44" t="s">
        <v>113</v>
      </c>
      <c r="L32" s="47">
        <v>45308.0</v>
      </c>
      <c r="M32" s="1"/>
      <c r="N32" s="41" t="s">
        <v>115</v>
      </c>
      <c r="O32" s="41" t="s">
        <v>181</v>
      </c>
      <c r="P32" s="1"/>
      <c r="Q32" s="41" t="s">
        <v>176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2.0" customHeight="1">
      <c r="A33" s="40" t="s">
        <v>186</v>
      </c>
      <c r="B33" s="41" t="s">
        <v>104</v>
      </c>
      <c r="C33" s="41" t="s">
        <v>121</v>
      </c>
      <c r="D33" s="41" t="s">
        <v>138</v>
      </c>
      <c r="E33" s="41" t="s">
        <v>187</v>
      </c>
      <c r="F33" s="41" t="s">
        <v>128</v>
      </c>
      <c r="G33" s="41" t="s">
        <v>109</v>
      </c>
      <c r="H33" s="41" t="s">
        <v>188</v>
      </c>
      <c r="I33" s="1"/>
      <c r="J33" s="1"/>
      <c r="K33" s="44" t="s">
        <v>113</v>
      </c>
      <c r="L33" s="47">
        <v>45308.0</v>
      </c>
      <c r="M33" s="47">
        <v>45321.0</v>
      </c>
      <c r="N33" s="41" t="s">
        <v>115</v>
      </c>
      <c r="O33" s="41" t="s">
        <v>181</v>
      </c>
      <c r="P33" s="52" t="s">
        <v>189</v>
      </c>
      <c r="Q33" s="41" t="s">
        <v>176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2.0" customHeight="1">
      <c r="A34" s="53" t="s">
        <v>190</v>
      </c>
      <c r="B34" s="41" t="s">
        <v>120</v>
      </c>
      <c r="C34" s="41" t="s">
        <v>191</v>
      </c>
      <c r="D34" s="41" t="s">
        <v>192</v>
      </c>
      <c r="E34" s="41" t="s">
        <v>193</v>
      </c>
      <c r="F34" s="41" t="s">
        <v>179</v>
      </c>
      <c r="G34" s="41" t="s">
        <v>109</v>
      </c>
      <c r="H34" s="42" t="s">
        <v>194</v>
      </c>
      <c r="I34" s="1"/>
      <c r="J34" s="41" t="s">
        <v>195</v>
      </c>
      <c r="K34" s="44" t="s">
        <v>113</v>
      </c>
      <c r="L34" s="47">
        <v>45308.0</v>
      </c>
      <c r="M34" s="1"/>
      <c r="N34" s="41" t="s">
        <v>115</v>
      </c>
      <c r="O34" s="41" t="s">
        <v>115</v>
      </c>
      <c r="P34" s="41" t="s">
        <v>196</v>
      </c>
      <c r="Q34" s="41" t="s">
        <v>176</v>
      </c>
      <c r="R34" s="41" t="s">
        <v>118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2.0" customHeight="1">
      <c r="A35" s="54" t="s">
        <v>197</v>
      </c>
      <c r="B35" s="41" t="s">
        <v>159</v>
      </c>
      <c r="C35" s="41" t="s">
        <v>198</v>
      </c>
      <c r="D35" s="41" t="s">
        <v>138</v>
      </c>
      <c r="E35" s="41" t="s">
        <v>193</v>
      </c>
      <c r="F35" s="41" t="s">
        <v>199</v>
      </c>
      <c r="G35" s="41" t="s">
        <v>109</v>
      </c>
      <c r="H35" s="41" t="s">
        <v>200</v>
      </c>
      <c r="I35" s="1"/>
      <c r="J35" s="41" t="s">
        <v>201</v>
      </c>
      <c r="K35" s="44" t="s">
        <v>113</v>
      </c>
      <c r="L35" s="47">
        <v>45308.0</v>
      </c>
      <c r="M35" s="1"/>
      <c r="N35" s="41" t="s">
        <v>115</v>
      </c>
      <c r="O35" s="41" t="s">
        <v>123</v>
      </c>
      <c r="P35" s="1"/>
      <c r="Q35" s="41" t="s">
        <v>176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2.0" customHeight="1">
      <c r="A36" s="55" t="s">
        <v>202</v>
      </c>
      <c r="B36" s="41" t="s">
        <v>203</v>
      </c>
      <c r="C36" s="41" t="s">
        <v>204</v>
      </c>
      <c r="D36" s="41" t="s">
        <v>135</v>
      </c>
      <c r="E36" s="41" t="s">
        <v>107</v>
      </c>
      <c r="F36" s="41" t="s">
        <v>128</v>
      </c>
      <c r="G36" s="41" t="s">
        <v>205</v>
      </c>
      <c r="H36" s="1"/>
      <c r="I36" s="1"/>
      <c r="J36" s="1"/>
      <c r="K36" s="44" t="s">
        <v>113</v>
      </c>
      <c r="L36" s="41" t="s">
        <v>206</v>
      </c>
      <c r="M36" s="1"/>
      <c r="N36" s="41" t="s">
        <v>115</v>
      </c>
      <c r="O36" s="41" t="s">
        <v>115</v>
      </c>
      <c r="P36" s="41" t="s">
        <v>207</v>
      </c>
      <c r="Q36" s="1"/>
      <c r="R36" s="36"/>
      <c r="S36" s="36"/>
      <c r="T36" s="36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2.0" customHeight="1">
      <c r="A37" s="40" t="s">
        <v>208</v>
      </c>
      <c r="B37" s="41" t="s">
        <v>209</v>
      </c>
      <c r="C37" s="41" t="s">
        <v>210</v>
      </c>
      <c r="D37" s="41" t="s">
        <v>106</v>
      </c>
      <c r="E37" s="41" t="s">
        <v>193</v>
      </c>
      <c r="F37" s="41" t="s">
        <v>211</v>
      </c>
      <c r="G37" s="41" t="s">
        <v>109</v>
      </c>
      <c r="H37" s="42" t="s">
        <v>212</v>
      </c>
      <c r="I37" s="1"/>
      <c r="J37" s="1"/>
      <c r="K37" s="41" t="s">
        <v>213</v>
      </c>
      <c r="L37" s="47">
        <v>45309.0</v>
      </c>
      <c r="M37" s="1"/>
      <c r="N37" s="41" t="s">
        <v>115</v>
      </c>
      <c r="O37" s="41" t="s">
        <v>214</v>
      </c>
      <c r="P37" s="41"/>
      <c r="Q37" s="41" t="s">
        <v>215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2.0" customHeight="1">
      <c r="A38" s="54" t="s">
        <v>216</v>
      </c>
      <c r="B38" s="41" t="s">
        <v>217</v>
      </c>
      <c r="C38" s="41" t="s">
        <v>191</v>
      </c>
      <c r="D38" s="41" t="s">
        <v>218</v>
      </c>
      <c r="E38" s="41" t="s">
        <v>219</v>
      </c>
      <c r="F38" s="41" t="s">
        <v>217</v>
      </c>
      <c r="G38" s="41" t="s">
        <v>220</v>
      </c>
      <c r="H38" s="41" t="s">
        <v>221</v>
      </c>
      <c r="I38" s="1"/>
      <c r="J38" s="1"/>
      <c r="K38" s="44" t="s">
        <v>113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2.0" customHeight="1">
      <c r="A39" s="40" t="s">
        <v>222</v>
      </c>
      <c r="B39" s="41" t="s">
        <v>120</v>
      </c>
      <c r="C39" s="41" t="s">
        <v>223</v>
      </c>
      <c r="D39" s="41" t="s">
        <v>135</v>
      </c>
      <c r="E39" s="41" t="s">
        <v>187</v>
      </c>
      <c r="F39" s="41" t="s">
        <v>179</v>
      </c>
      <c r="G39" s="41" t="s">
        <v>109</v>
      </c>
      <c r="H39" s="41" t="s">
        <v>224</v>
      </c>
      <c r="I39" s="1"/>
      <c r="J39" s="1"/>
      <c r="K39" s="44" t="s">
        <v>113</v>
      </c>
      <c r="L39" s="47">
        <v>45309.0</v>
      </c>
      <c r="M39" s="47">
        <v>45321.0</v>
      </c>
      <c r="N39" s="41" t="s">
        <v>115</v>
      </c>
      <c r="O39" s="41" t="s">
        <v>123</v>
      </c>
      <c r="P39" s="41" t="s">
        <v>157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2.0" customHeight="1">
      <c r="A40" s="56" t="s">
        <v>225</v>
      </c>
      <c r="B40" s="41" t="s">
        <v>120</v>
      </c>
      <c r="C40" s="41" t="s">
        <v>210</v>
      </c>
      <c r="D40" s="41" t="s">
        <v>135</v>
      </c>
      <c r="E40" s="41" t="s">
        <v>226</v>
      </c>
      <c r="F40" s="41" t="s">
        <v>227</v>
      </c>
      <c r="G40" s="41" t="s">
        <v>109</v>
      </c>
      <c r="H40" s="42" t="s">
        <v>228</v>
      </c>
      <c r="I40" s="1"/>
      <c r="J40" s="1"/>
      <c r="K40" s="44" t="s">
        <v>113</v>
      </c>
      <c r="L40" s="47">
        <v>45309.0</v>
      </c>
      <c r="M40" s="1"/>
      <c r="N40" s="41" t="s">
        <v>115</v>
      </c>
      <c r="O40" s="41" t="s">
        <v>115</v>
      </c>
      <c r="P40" s="41" t="s">
        <v>229</v>
      </c>
      <c r="Q40" s="41" t="s">
        <v>176</v>
      </c>
      <c r="R40" s="41" t="s">
        <v>118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2.0" customHeight="1">
      <c r="A41" s="57" t="s">
        <v>230</v>
      </c>
      <c r="B41" s="41" t="s">
        <v>120</v>
      </c>
      <c r="C41" s="41" t="s">
        <v>210</v>
      </c>
      <c r="D41" s="41" t="s">
        <v>106</v>
      </c>
      <c r="E41" s="41" t="s">
        <v>231</v>
      </c>
      <c r="F41" s="41" t="s">
        <v>108</v>
      </c>
      <c r="G41" s="41" t="s">
        <v>109</v>
      </c>
      <c r="H41" s="58" t="s">
        <v>232</v>
      </c>
      <c r="I41" s="1"/>
      <c r="J41" s="41" t="s">
        <v>233</v>
      </c>
      <c r="K41" s="44" t="s">
        <v>113</v>
      </c>
      <c r="L41" s="47">
        <v>45310.0</v>
      </c>
      <c r="M41" s="1"/>
      <c r="N41" s="41" t="s">
        <v>115</v>
      </c>
      <c r="O41" s="41" t="s">
        <v>123</v>
      </c>
      <c r="P41" s="41" t="s">
        <v>234</v>
      </c>
      <c r="Q41" s="41" t="s">
        <v>117</v>
      </c>
      <c r="R41" s="41" t="s">
        <v>118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2.0" customHeight="1">
      <c r="A42" s="59" t="s">
        <v>235</v>
      </c>
      <c r="B42" s="41" t="s">
        <v>120</v>
      </c>
      <c r="C42" s="60" t="s">
        <v>236</v>
      </c>
      <c r="D42" s="41" t="s">
        <v>106</v>
      </c>
      <c r="E42" s="41" t="s">
        <v>231</v>
      </c>
      <c r="F42" s="41" t="s">
        <v>108</v>
      </c>
      <c r="G42" s="41" t="s">
        <v>109</v>
      </c>
      <c r="H42" s="61" t="s">
        <v>235</v>
      </c>
      <c r="I42" s="1"/>
      <c r="J42" s="41" t="s">
        <v>237</v>
      </c>
      <c r="K42" s="44" t="s">
        <v>113</v>
      </c>
      <c r="L42" s="47">
        <v>45310.0</v>
      </c>
      <c r="M42" s="1"/>
      <c r="N42" s="41" t="s">
        <v>115</v>
      </c>
      <c r="O42" s="41" t="s">
        <v>214</v>
      </c>
      <c r="P42" s="41" t="s">
        <v>238</v>
      </c>
      <c r="Q42" s="41" t="s">
        <v>117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2.0" customHeight="1">
      <c r="A43" s="48" t="s">
        <v>239</v>
      </c>
      <c r="B43" s="41" t="s">
        <v>120</v>
      </c>
      <c r="C43" s="41" t="s">
        <v>240</v>
      </c>
      <c r="D43" s="41" t="s">
        <v>106</v>
      </c>
      <c r="E43" s="41" t="s">
        <v>241</v>
      </c>
      <c r="F43" s="41" t="s">
        <v>108</v>
      </c>
      <c r="G43" s="41" t="s">
        <v>92</v>
      </c>
      <c r="H43" s="62" t="s">
        <v>242</v>
      </c>
      <c r="I43" s="1"/>
      <c r="J43" s="63" t="s">
        <v>243</v>
      </c>
      <c r="K43" s="44" t="s">
        <v>113</v>
      </c>
      <c r="L43" s="47">
        <v>45310.0</v>
      </c>
      <c r="M43" s="1"/>
      <c r="N43" s="41" t="s">
        <v>115</v>
      </c>
      <c r="O43" s="41" t="s">
        <v>115</v>
      </c>
      <c r="P43" s="41" t="s">
        <v>244</v>
      </c>
      <c r="Q43" s="41" t="s">
        <v>117</v>
      </c>
      <c r="R43" s="41" t="s">
        <v>166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2.0" customHeight="1">
      <c r="A44" s="40" t="s">
        <v>245</v>
      </c>
      <c r="B44" s="41" t="s">
        <v>246</v>
      </c>
      <c r="C44" s="41" t="s">
        <v>247</v>
      </c>
      <c r="D44" s="41" t="s">
        <v>248</v>
      </c>
      <c r="E44" s="41" t="s">
        <v>249</v>
      </c>
      <c r="F44" s="41" t="s">
        <v>250</v>
      </c>
      <c r="G44" s="41" t="s">
        <v>92</v>
      </c>
      <c r="H44" s="41" t="s">
        <v>251</v>
      </c>
      <c r="I44" s="1"/>
      <c r="J44" s="1"/>
      <c r="K44" s="1"/>
      <c r="L44" s="41" t="s">
        <v>252</v>
      </c>
      <c r="M44" s="1"/>
      <c r="N44" s="41" t="s">
        <v>115</v>
      </c>
      <c r="O44" s="41" t="s">
        <v>123</v>
      </c>
      <c r="P44" s="1"/>
      <c r="Q44" s="41" t="s">
        <v>176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2.0" customHeight="1">
      <c r="A45" s="40" t="s">
        <v>253</v>
      </c>
      <c r="B45" s="41" t="s">
        <v>254</v>
      </c>
      <c r="C45" s="41" t="s">
        <v>146</v>
      </c>
      <c r="D45" s="41" t="s">
        <v>138</v>
      </c>
      <c r="E45" s="41" t="s">
        <v>255</v>
      </c>
      <c r="F45" s="41" t="s">
        <v>108</v>
      </c>
      <c r="G45" s="41" t="s">
        <v>92</v>
      </c>
      <c r="H45" s="46" t="s">
        <v>256</v>
      </c>
      <c r="I45" s="1"/>
      <c r="J45" s="41" t="s">
        <v>257</v>
      </c>
      <c r="K45" s="44" t="s">
        <v>113</v>
      </c>
      <c r="L45" s="41" t="s">
        <v>252</v>
      </c>
      <c r="M45" s="1"/>
      <c r="N45" s="41" t="s">
        <v>115</v>
      </c>
      <c r="O45" s="41" t="s">
        <v>115</v>
      </c>
      <c r="P45" s="1"/>
      <c r="Q45" s="41" t="s">
        <v>176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2.0" customHeight="1">
      <c r="A46" s="40" t="s">
        <v>258</v>
      </c>
      <c r="B46" s="41" t="s">
        <v>120</v>
      </c>
      <c r="C46" s="41" t="s">
        <v>105</v>
      </c>
      <c r="D46" s="41" t="s">
        <v>106</v>
      </c>
      <c r="E46" s="41" t="s">
        <v>259</v>
      </c>
      <c r="F46" s="41" t="s">
        <v>108</v>
      </c>
      <c r="G46" s="41" t="s">
        <v>92</v>
      </c>
      <c r="H46" s="41" t="s">
        <v>260</v>
      </c>
      <c r="I46" s="1"/>
      <c r="J46" s="41" t="s">
        <v>261</v>
      </c>
      <c r="K46" s="44" t="s">
        <v>113</v>
      </c>
      <c r="L46" s="47">
        <v>45310.0</v>
      </c>
      <c r="M46" s="1"/>
      <c r="N46" s="41" t="s">
        <v>115</v>
      </c>
      <c r="O46" s="41" t="s">
        <v>262</v>
      </c>
      <c r="P46" s="1"/>
      <c r="Q46" s="41" t="s">
        <v>176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2.0" customHeight="1">
      <c r="A47" s="50" t="s">
        <v>263</v>
      </c>
      <c r="B47" s="41" t="s">
        <v>263</v>
      </c>
      <c r="C47" s="41" t="s">
        <v>146</v>
      </c>
      <c r="D47" s="41" t="s">
        <v>138</v>
      </c>
      <c r="E47" s="41" t="s">
        <v>264</v>
      </c>
      <c r="F47" s="41" t="s">
        <v>108</v>
      </c>
      <c r="G47" s="41" t="s">
        <v>92</v>
      </c>
      <c r="H47" s="42" t="s">
        <v>265</v>
      </c>
      <c r="I47" s="1"/>
      <c r="J47" s="41" t="s">
        <v>257</v>
      </c>
      <c r="K47" s="44" t="s">
        <v>113</v>
      </c>
      <c r="L47" s="47">
        <v>45310.0</v>
      </c>
      <c r="M47" s="41" t="s">
        <v>266</v>
      </c>
      <c r="N47" s="41" t="s">
        <v>115</v>
      </c>
      <c r="O47" s="41" t="s">
        <v>267</v>
      </c>
      <c r="P47" s="41" t="s">
        <v>268</v>
      </c>
      <c r="Q47" s="41" t="s">
        <v>176</v>
      </c>
      <c r="R47" s="41" t="s">
        <v>166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2.0" customHeight="1">
      <c r="A48" s="48" t="s">
        <v>269</v>
      </c>
      <c r="B48" s="41" t="s">
        <v>120</v>
      </c>
      <c r="C48" s="41" t="s">
        <v>146</v>
      </c>
      <c r="D48" s="41" t="s">
        <v>138</v>
      </c>
      <c r="E48" s="41" t="s">
        <v>264</v>
      </c>
      <c r="F48" s="41" t="s">
        <v>108</v>
      </c>
      <c r="G48" s="41" t="s">
        <v>92</v>
      </c>
      <c r="H48" s="42" t="s">
        <v>270</v>
      </c>
      <c r="I48" s="1"/>
      <c r="J48" s="41" t="s">
        <v>261</v>
      </c>
      <c r="K48" s="44" t="s">
        <v>113</v>
      </c>
      <c r="L48" s="1"/>
      <c r="M48" s="1"/>
      <c r="N48" s="41" t="s">
        <v>115</v>
      </c>
      <c r="O48" s="41" t="s">
        <v>115</v>
      </c>
      <c r="P48" s="41" t="s">
        <v>271</v>
      </c>
      <c r="Q48" s="41" t="s">
        <v>176</v>
      </c>
      <c r="R48" s="41" t="s">
        <v>166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2.0" customHeight="1">
      <c r="A49" s="64" t="s">
        <v>272</v>
      </c>
      <c r="B49" s="41" t="s">
        <v>273</v>
      </c>
      <c r="C49" s="41" t="s">
        <v>274</v>
      </c>
      <c r="D49" s="41" t="s">
        <v>106</v>
      </c>
      <c r="E49" s="41" t="s">
        <v>275</v>
      </c>
      <c r="F49" s="41" t="s">
        <v>108</v>
      </c>
      <c r="G49" s="41" t="s">
        <v>92</v>
      </c>
      <c r="H49" s="41" t="s">
        <v>276</v>
      </c>
      <c r="I49" s="1"/>
      <c r="J49" s="41" t="s">
        <v>277</v>
      </c>
      <c r="K49" s="44" t="s">
        <v>113</v>
      </c>
      <c r="L49" s="47">
        <v>45313.0</v>
      </c>
      <c r="M49" s="1"/>
      <c r="N49" s="41" t="s">
        <v>278</v>
      </c>
      <c r="O49" s="1"/>
      <c r="P49" s="1"/>
      <c r="Q49" s="41" t="s">
        <v>176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2.0" customHeight="1">
      <c r="A50" s="64" t="s">
        <v>279</v>
      </c>
      <c r="B50" s="41" t="s">
        <v>280</v>
      </c>
      <c r="C50" s="41" t="s">
        <v>160</v>
      </c>
      <c r="D50" s="41" t="s">
        <v>135</v>
      </c>
      <c r="E50" s="41" t="s">
        <v>275</v>
      </c>
      <c r="F50" s="41" t="s">
        <v>281</v>
      </c>
      <c r="G50" s="41" t="s">
        <v>92</v>
      </c>
      <c r="H50" s="41" t="s">
        <v>282</v>
      </c>
      <c r="I50" s="1"/>
      <c r="J50" s="41" t="s">
        <v>277</v>
      </c>
      <c r="K50" s="44" t="s">
        <v>113</v>
      </c>
      <c r="L50" s="47">
        <v>45314.0</v>
      </c>
      <c r="M50" s="1"/>
      <c r="N50" s="41" t="s">
        <v>278</v>
      </c>
      <c r="O50" s="1"/>
      <c r="P50" s="1"/>
      <c r="Q50" s="41" t="s">
        <v>176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2.0" customHeight="1">
      <c r="A51" s="64" t="s">
        <v>283</v>
      </c>
      <c r="B51" s="41" t="s">
        <v>284</v>
      </c>
      <c r="C51" s="41" t="s">
        <v>285</v>
      </c>
      <c r="D51" s="41" t="s">
        <v>286</v>
      </c>
      <c r="E51" s="41" t="s">
        <v>275</v>
      </c>
      <c r="F51" s="41" t="s">
        <v>286</v>
      </c>
      <c r="G51" s="41" t="s">
        <v>92</v>
      </c>
      <c r="H51" s="41" t="s">
        <v>287</v>
      </c>
      <c r="I51" s="1"/>
      <c r="J51" s="41" t="s">
        <v>277</v>
      </c>
      <c r="K51" s="41" t="s">
        <v>288</v>
      </c>
      <c r="L51" s="47">
        <v>45315.0</v>
      </c>
      <c r="M51" s="1"/>
      <c r="N51" s="41" t="s">
        <v>278</v>
      </c>
      <c r="O51" s="1"/>
      <c r="P51" s="1"/>
      <c r="Q51" s="41" t="s">
        <v>176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2.0" customHeight="1">
      <c r="A52" s="64" t="s">
        <v>289</v>
      </c>
      <c r="B52" s="41" t="s">
        <v>159</v>
      </c>
      <c r="C52" s="41" t="s">
        <v>290</v>
      </c>
      <c r="D52" s="41" t="s">
        <v>106</v>
      </c>
      <c r="E52" s="41" t="s">
        <v>275</v>
      </c>
      <c r="F52" s="41" t="s">
        <v>108</v>
      </c>
      <c r="G52" s="41" t="s">
        <v>250</v>
      </c>
      <c r="H52" s="41" t="s">
        <v>291</v>
      </c>
      <c r="I52" s="1"/>
      <c r="J52" s="41" t="s">
        <v>292</v>
      </c>
      <c r="K52" s="44" t="s">
        <v>113</v>
      </c>
      <c r="L52" s="47">
        <v>45316.0</v>
      </c>
      <c r="M52" s="1"/>
      <c r="N52" s="41" t="s">
        <v>278</v>
      </c>
      <c r="O52" s="1"/>
      <c r="P52" s="1"/>
      <c r="Q52" s="41" t="s">
        <v>176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2.0" customHeight="1">
      <c r="A53" s="64" t="s">
        <v>293</v>
      </c>
      <c r="B53" s="41" t="s">
        <v>284</v>
      </c>
      <c r="C53" s="41" t="s">
        <v>204</v>
      </c>
      <c r="D53" s="41" t="s">
        <v>106</v>
      </c>
      <c r="E53" s="41" t="s">
        <v>275</v>
      </c>
      <c r="F53" s="41" t="s">
        <v>108</v>
      </c>
      <c r="G53" s="41" t="s">
        <v>92</v>
      </c>
      <c r="H53" s="41" t="s">
        <v>294</v>
      </c>
      <c r="I53" s="1"/>
      <c r="J53" s="41" t="s">
        <v>277</v>
      </c>
      <c r="K53" s="44" t="s">
        <v>113</v>
      </c>
      <c r="L53" s="47">
        <v>45317.0</v>
      </c>
      <c r="M53" s="1"/>
      <c r="N53" s="41" t="s">
        <v>278</v>
      </c>
      <c r="O53" s="1"/>
      <c r="P53" s="1"/>
      <c r="Q53" s="41" t="s">
        <v>176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2.0" customHeight="1">
      <c r="A54" s="64" t="s">
        <v>295</v>
      </c>
      <c r="B54" s="41" t="s">
        <v>284</v>
      </c>
      <c r="C54" s="41" t="s">
        <v>296</v>
      </c>
      <c r="D54" s="41" t="s">
        <v>106</v>
      </c>
      <c r="E54" s="41" t="s">
        <v>275</v>
      </c>
      <c r="F54" s="41" t="s">
        <v>108</v>
      </c>
      <c r="G54" s="41" t="s">
        <v>92</v>
      </c>
      <c r="H54" s="41" t="s">
        <v>297</v>
      </c>
      <c r="I54" s="1"/>
      <c r="J54" s="41" t="s">
        <v>277</v>
      </c>
      <c r="K54" s="44" t="s">
        <v>113</v>
      </c>
      <c r="L54" s="47">
        <v>45318.0</v>
      </c>
      <c r="M54" s="1"/>
      <c r="N54" s="41" t="s">
        <v>278</v>
      </c>
      <c r="O54" s="1"/>
      <c r="P54" s="1"/>
      <c r="Q54" s="41" t="s">
        <v>176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2.0" customHeight="1">
      <c r="A55" s="64" t="s">
        <v>298</v>
      </c>
      <c r="B55" s="41" t="s">
        <v>284</v>
      </c>
      <c r="C55" s="41" t="s">
        <v>299</v>
      </c>
      <c r="D55" s="41" t="s">
        <v>300</v>
      </c>
      <c r="E55" s="41" t="s">
        <v>275</v>
      </c>
      <c r="F55" s="1"/>
      <c r="G55" s="41" t="s">
        <v>92</v>
      </c>
      <c r="H55" s="41" t="s">
        <v>301</v>
      </c>
      <c r="I55" s="1"/>
      <c r="J55" s="41" t="s">
        <v>277</v>
      </c>
      <c r="K55" s="41" t="s">
        <v>288</v>
      </c>
      <c r="L55" s="47">
        <v>45319.0</v>
      </c>
      <c r="M55" s="1"/>
      <c r="N55" s="41" t="s">
        <v>278</v>
      </c>
      <c r="O55" s="1"/>
      <c r="P55" s="1"/>
      <c r="Q55" s="41" t="s">
        <v>176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2.0" customHeight="1">
      <c r="A56" s="64" t="s">
        <v>302</v>
      </c>
      <c r="B56" s="41" t="s">
        <v>284</v>
      </c>
      <c r="C56" s="41" t="s">
        <v>303</v>
      </c>
      <c r="D56" s="41" t="s">
        <v>286</v>
      </c>
      <c r="E56" s="41" t="s">
        <v>275</v>
      </c>
      <c r="F56" s="1"/>
      <c r="G56" s="41" t="s">
        <v>92</v>
      </c>
      <c r="H56" s="41" t="s">
        <v>304</v>
      </c>
      <c r="I56" s="1"/>
      <c r="J56" s="41" t="s">
        <v>277</v>
      </c>
      <c r="K56" s="41" t="s">
        <v>288</v>
      </c>
      <c r="L56" s="47">
        <v>45320.0</v>
      </c>
      <c r="M56" s="1"/>
      <c r="N56" s="41" t="s">
        <v>278</v>
      </c>
      <c r="O56" s="1"/>
      <c r="P56" s="1"/>
      <c r="Q56" s="41" t="s">
        <v>176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2.0" customHeight="1">
      <c r="A57" s="64" t="s">
        <v>305</v>
      </c>
      <c r="B57" s="41" t="s">
        <v>306</v>
      </c>
      <c r="C57" s="41" t="s">
        <v>307</v>
      </c>
      <c r="D57" s="41" t="s">
        <v>106</v>
      </c>
      <c r="E57" s="41" t="s">
        <v>308</v>
      </c>
      <c r="F57" s="41" t="s">
        <v>261</v>
      </c>
      <c r="G57" s="41" t="s">
        <v>109</v>
      </c>
      <c r="H57" s="41" t="s">
        <v>309</v>
      </c>
      <c r="I57" s="1"/>
      <c r="J57" s="41" t="s">
        <v>277</v>
      </c>
      <c r="K57" s="44" t="s">
        <v>113</v>
      </c>
      <c r="L57" s="47">
        <v>45321.0</v>
      </c>
      <c r="M57" s="1"/>
      <c r="N57" s="41" t="s">
        <v>278</v>
      </c>
      <c r="O57" s="1"/>
      <c r="P57" s="1"/>
      <c r="Q57" s="41" t="s">
        <v>176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2.0" customHeight="1">
      <c r="A58" s="41" t="s">
        <v>310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47">
        <v>45310.0</v>
      </c>
      <c r="M58" s="1"/>
      <c r="N58" s="41" t="s">
        <v>115</v>
      </c>
      <c r="O58" s="41" t="s">
        <v>123</v>
      </c>
      <c r="P58" s="1"/>
      <c r="Q58" s="41" t="s">
        <v>176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2.0" customHeight="1">
      <c r="A59" s="65" t="s">
        <v>311</v>
      </c>
      <c r="B59" s="41" t="s">
        <v>120</v>
      </c>
      <c r="C59" s="41" t="s">
        <v>312</v>
      </c>
      <c r="D59" s="41" t="s">
        <v>106</v>
      </c>
      <c r="E59" s="41" t="s">
        <v>313</v>
      </c>
      <c r="F59" s="41" t="s">
        <v>261</v>
      </c>
      <c r="G59" s="41" t="s">
        <v>92</v>
      </c>
      <c r="H59" s="66" t="s">
        <v>260</v>
      </c>
      <c r="J59" s="1"/>
      <c r="K59" s="44" t="s">
        <v>113</v>
      </c>
      <c r="L59" s="47">
        <v>45311.0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2.0" customHeight="1">
      <c r="A60" s="50" t="s">
        <v>314</v>
      </c>
      <c r="B60" s="41" t="s">
        <v>159</v>
      </c>
      <c r="C60" s="41" t="s">
        <v>30</v>
      </c>
      <c r="D60" s="41" t="s">
        <v>315</v>
      </c>
      <c r="E60" s="41" t="s">
        <v>316</v>
      </c>
      <c r="F60" s="41" t="s">
        <v>317</v>
      </c>
      <c r="G60" s="41" t="s">
        <v>92</v>
      </c>
      <c r="H60" s="67" t="s">
        <v>318</v>
      </c>
      <c r="I60" s="1"/>
      <c r="J60" s="41"/>
      <c r="K60" s="44" t="s">
        <v>113</v>
      </c>
      <c r="L60" s="47">
        <v>45313.0</v>
      </c>
      <c r="M60" s="1"/>
      <c r="N60" s="41" t="s">
        <v>115</v>
      </c>
      <c r="O60" s="41" t="s">
        <v>115</v>
      </c>
      <c r="P60" s="41" t="s">
        <v>319</v>
      </c>
      <c r="Q60" s="41" t="s">
        <v>176</v>
      </c>
      <c r="R60" s="41" t="s">
        <v>118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2.0" customHeight="1">
      <c r="A61" s="48" t="s">
        <v>320</v>
      </c>
      <c r="B61" s="41" t="s">
        <v>120</v>
      </c>
      <c r="C61" s="41" t="s">
        <v>210</v>
      </c>
      <c r="D61" s="41" t="s">
        <v>135</v>
      </c>
      <c r="E61" s="41" t="s">
        <v>321</v>
      </c>
      <c r="F61" s="41" t="s">
        <v>322</v>
      </c>
      <c r="G61" s="41" t="s">
        <v>323</v>
      </c>
      <c r="H61" s="41" t="s">
        <v>324</v>
      </c>
      <c r="I61" s="1"/>
      <c r="J61" s="52" t="s">
        <v>325</v>
      </c>
      <c r="K61" s="68" t="s">
        <v>113</v>
      </c>
      <c r="L61" s="69">
        <v>45313.0</v>
      </c>
      <c r="M61" s="41" t="s">
        <v>326</v>
      </c>
      <c r="N61" s="52" t="s">
        <v>115</v>
      </c>
      <c r="O61" s="52" t="s">
        <v>115</v>
      </c>
      <c r="P61" s="41" t="s">
        <v>327</v>
      </c>
      <c r="Q61" s="41" t="s">
        <v>117</v>
      </c>
      <c r="R61" s="41" t="s">
        <v>166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2.0" customHeight="1">
      <c r="A62" s="48" t="s">
        <v>328</v>
      </c>
      <c r="B62" s="41" t="s">
        <v>120</v>
      </c>
      <c r="C62" s="41" t="s">
        <v>296</v>
      </c>
      <c r="D62" s="41" t="s">
        <v>106</v>
      </c>
      <c r="E62" s="41" t="s">
        <v>329</v>
      </c>
      <c r="F62" s="41" t="s">
        <v>261</v>
      </c>
      <c r="G62" s="41" t="s">
        <v>330</v>
      </c>
      <c r="H62" s="70" t="s">
        <v>331</v>
      </c>
      <c r="I62" s="1"/>
      <c r="J62" s="41" t="s">
        <v>266</v>
      </c>
      <c r="K62" s="44" t="s">
        <v>113</v>
      </c>
      <c r="L62" s="47">
        <v>45313.0</v>
      </c>
      <c r="M62" s="1"/>
      <c r="N62" s="41" t="s">
        <v>115</v>
      </c>
      <c r="O62" s="41" t="s">
        <v>267</v>
      </c>
      <c r="P62" s="41" t="s">
        <v>332</v>
      </c>
      <c r="Q62" s="41" t="s">
        <v>117</v>
      </c>
      <c r="R62" s="41" t="s">
        <v>166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2.0" customHeight="1">
      <c r="A63" s="48" t="s">
        <v>333</v>
      </c>
      <c r="B63" s="41" t="s">
        <v>334</v>
      </c>
      <c r="C63" s="41" t="s">
        <v>335</v>
      </c>
      <c r="D63" s="41" t="s">
        <v>106</v>
      </c>
      <c r="E63" s="41" t="s">
        <v>336</v>
      </c>
      <c r="F63" s="41" t="s">
        <v>108</v>
      </c>
      <c r="G63" s="41" t="s">
        <v>92</v>
      </c>
      <c r="H63" s="71" t="s">
        <v>337</v>
      </c>
      <c r="I63" s="1"/>
      <c r="J63" s="41" t="s">
        <v>266</v>
      </c>
      <c r="K63" s="41" t="s">
        <v>213</v>
      </c>
      <c r="L63" s="47">
        <v>44948.0</v>
      </c>
      <c r="M63" s="1"/>
      <c r="N63" s="41" t="s">
        <v>115</v>
      </c>
      <c r="O63" s="41" t="s">
        <v>267</v>
      </c>
      <c r="P63" s="41" t="s">
        <v>338</v>
      </c>
      <c r="Q63" s="41" t="s">
        <v>117</v>
      </c>
      <c r="R63" s="41" t="s">
        <v>166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2.0" customHeight="1">
      <c r="A64" s="48" t="s">
        <v>339</v>
      </c>
      <c r="B64" s="41" t="s">
        <v>120</v>
      </c>
      <c r="C64" s="41" t="s">
        <v>191</v>
      </c>
      <c r="D64" s="41" t="s">
        <v>340</v>
      </c>
      <c r="E64" s="41" t="s">
        <v>341</v>
      </c>
      <c r="F64" s="41" t="s">
        <v>342</v>
      </c>
      <c r="G64" s="41" t="s">
        <v>92</v>
      </c>
      <c r="H64" s="72" t="s">
        <v>343</v>
      </c>
      <c r="I64" s="1"/>
      <c r="J64" s="41" t="s">
        <v>344</v>
      </c>
      <c r="K64" s="44" t="s">
        <v>113</v>
      </c>
      <c r="L64" s="47">
        <v>45314.0</v>
      </c>
      <c r="M64" s="41" t="s">
        <v>345</v>
      </c>
      <c r="N64" s="41" t="s">
        <v>115</v>
      </c>
      <c r="O64" s="41" t="s">
        <v>115</v>
      </c>
      <c r="P64" s="41" t="s">
        <v>346</v>
      </c>
      <c r="Q64" s="41" t="s">
        <v>117</v>
      </c>
      <c r="R64" s="41" t="s">
        <v>118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2.0" customHeight="1">
      <c r="A65" s="50" t="s">
        <v>239</v>
      </c>
      <c r="B65" s="41" t="s">
        <v>120</v>
      </c>
      <c r="C65" s="41" t="s">
        <v>347</v>
      </c>
      <c r="D65" s="41" t="s">
        <v>106</v>
      </c>
      <c r="E65" s="41" t="s">
        <v>348</v>
      </c>
      <c r="F65" s="41" t="s">
        <v>261</v>
      </c>
      <c r="G65" s="41" t="s">
        <v>92</v>
      </c>
      <c r="H65" s="73" t="s">
        <v>242</v>
      </c>
      <c r="I65" s="1"/>
      <c r="J65" s="1"/>
      <c r="K65" s="44" t="s">
        <v>113</v>
      </c>
      <c r="L65" s="47">
        <v>45313.0</v>
      </c>
      <c r="M65" s="1"/>
      <c r="N65" s="41" t="s">
        <v>115</v>
      </c>
      <c r="O65" s="41" t="s">
        <v>115</v>
      </c>
      <c r="P65" s="41" t="s">
        <v>349</v>
      </c>
      <c r="Q65" s="41" t="s">
        <v>117</v>
      </c>
      <c r="R65" s="41" t="s">
        <v>166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2.0" customHeight="1">
      <c r="A66" s="50" t="s">
        <v>350</v>
      </c>
      <c r="B66" s="41" t="s">
        <v>120</v>
      </c>
      <c r="C66" s="41" t="s">
        <v>351</v>
      </c>
      <c r="D66" s="41" t="s">
        <v>315</v>
      </c>
      <c r="E66" s="41" t="s">
        <v>352</v>
      </c>
      <c r="F66" s="41" t="s">
        <v>353</v>
      </c>
      <c r="G66" s="41" t="s">
        <v>92</v>
      </c>
      <c r="H66" s="41" t="s">
        <v>354</v>
      </c>
      <c r="I66" s="1"/>
      <c r="J66" s="41" t="s">
        <v>355</v>
      </c>
      <c r="K66" s="44" t="s">
        <v>113</v>
      </c>
      <c r="L66" s="47">
        <v>45314.0</v>
      </c>
      <c r="M66" s="1"/>
      <c r="N66" s="41" t="s">
        <v>115</v>
      </c>
      <c r="O66" s="41" t="s">
        <v>123</v>
      </c>
      <c r="P66" s="41" t="s">
        <v>356</v>
      </c>
      <c r="Q66" s="41" t="s">
        <v>176</v>
      </c>
      <c r="R66" s="41" t="s">
        <v>118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2.0" customHeight="1">
      <c r="A67" s="54" t="s">
        <v>357</v>
      </c>
      <c r="B67" s="41" t="s">
        <v>120</v>
      </c>
      <c r="C67" s="41" t="s">
        <v>358</v>
      </c>
      <c r="D67" s="41" t="s">
        <v>106</v>
      </c>
      <c r="E67" s="41" t="s">
        <v>359</v>
      </c>
      <c r="F67" s="41" t="s">
        <v>108</v>
      </c>
      <c r="G67" s="41" t="s">
        <v>92</v>
      </c>
      <c r="H67" s="74" t="s">
        <v>360</v>
      </c>
      <c r="I67" s="1"/>
      <c r="J67" s="41" t="s">
        <v>361</v>
      </c>
      <c r="K67" s="44" t="s">
        <v>113</v>
      </c>
      <c r="L67" s="1"/>
      <c r="M67" s="1"/>
      <c r="N67" s="1"/>
      <c r="O67" s="1"/>
      <c r="P67" s="1"/>
      <c r="Q67" s="41" t="s">
        <v>176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2.0" customHeight="1">
      <c r="A68" s="54" t="s">
        <v>362</v>
      </c>
      <c r="B68" s="41" t="s">
        <v>120</v>
      </c>
      <c r="C68" s="41" t="s">
        <v>363</v>
      </c>
      <c r="D68" s="41" t="s">
        <v>106</v>
      </c>
      <c r="E68" s="41" t="s">
        <v>364</v>
      </c>
      <c r="F68" s="41" t="s">
        <v>261</v>
      </c>
      <c r="G68" s="41" t="s">
        <v>92</v>
      </c>
      <c r="H68" s="41" t="s">
        <v>162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2.0" customHeight="1">
      <c r="A69" s="75" t="s">
        <v>365</v>
      </c>
      <c r="B69" s="41" t="s">
        <v>366</v>
      </c>
      <c r="C69" s="41" t="s">
        <v>21</v>
      </c>
      <c r="D69" s="41" t="s">
        <v>135</v>
      </c>
      <c r="E69" s="41" t="s">
        <v>367</v>
      </c>
      <c r="F69" s="41" t="s">
        <v>179</v>
      </c>
      <c r="G69" s="41" t="s">
        <v>109</v>
      </c>
      <c r="H69" s="41" t="s">
        <v>368</v>
      </c>
      <c r="I69" s="1"/>
      <c r="J69" s="1"/>
      <c r="K69" s="44" t="s">
        <v>113</v>
      </c>
      <c r="L69" s="47">
        <v>45321.0</v>
      </c>
      <c r="M69" s="1"/>
      <c r="N69" s="41" t="s">
        <v>115</v>
      </c>
      <c r="O69" s="41" t="s">
        <v>115</v>
      </c>
      <c r="P69" s="41" t="s">
        <v>369</v>
      </c>
      <c r="Q69" s="41" t="s">
        <v>117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2.0" customHeight="1">
      <c r="A70" s="40" t="s">
        <v>370</v>
      </c>
      <c r="B70" s="41" t="s">
        <v>366</v>
      </c>
      <c r="C70" s="41" t="s">
        <v>160</v>
      </c>
      <c r="D70" s="41" t="s">
        <v>135</v>
      </c>
      <c r="E70" s="41" t="s">
        <v>367</v>
      </c>
      <c r="F70" s="41" t="s">
        <v>179</v>
      </c>
      <c r="G70" s="41" t="s">
        <v>109</v>
      </c>
      <c r="H70" s="41" t="s">
        <v>371</v>
      </c>
      <c r="I70" s="1"/>
      <c r="J70" s="1"/>
      <c r="K70" s="44" t="s">
        <v>113</v>
      </c>
      <c r="L70" s="47">
        <v>45321.0</v>
      </c>
      <c r="M70" s="1"/>
      <c r="N70" s="41" t="s">
        <v>115</v>
      </c>
      <c r="O70" s="41" t="s">
        <v>123</v>
      </c>
      <c r="P70" s="1"/>
      <c r="Q70" s="41" t="s">
        <v>117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2.0" customHeight="1">
      <c r="A71" s="41" t="s">
        <v>372</v>
      </c>
      <c r="B71" s="41" t="s">
        <v>373</v>
      </c>
      <c r="C71" s="41" t="s">
        <v>52</v>
      </c>
      <c r="D71" s="41" t="s">
        <v>135</v>
      </c>
      <c r="E71" s="41" t="s">
        <v>183</v>
      </c>
      <c r="F71" s="41" t="s">
        <v>155</v>
      </c>
      <c r="G71" s="41" t="s">
        <v>92</v>
      </c>
      <c r="H71" s="1"/>
      <c r="I71" s="1"/>
      <c r="J71" s="1"/>
      <c r="K71" s="44" t="s">
        <v>113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2.0" customHeight="1">
      <c r="A72" s="40" t="s">
        <v>374</v>
      </c>
      <c r="B72" s="41" t="s">
        <v>375</v>
      </c>
      <c r="C72" s="41" t="s">
        <v>363</v>
      </c>
      <c r="D72" s="41" t="s">
        <v>135</v>
      </c>
      <c r="E72" s="41" t="s">
        <v>376</v>
      </c>
      <c r="F72" s="1"/>
      <c r="G72" s="41" t="s">
        <v>92</v>
      </c>
      <c r="H72" s="70" t="s">
        <v>377</v>
      </c>
      <c r="I72" s="1"/>
      <c r="J72" s="1"/>
      <c r="K72" s="44" t="s">
        <v>113</v>
      </c>
      <c r="L72" s="47">
        <v>45321.0</v>
      </c>
      <c r="M72" s="1"/>
      <c r="N72" s="41" t="s">
        <v>115</v>
      </c>
      <c r="O72" s="41" t="s">
        <v>123</v>
      </c>
      <c r="P72" s="1"/>
      <c r="Q72" s="41" t="s">
        <v>176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2.0" customHeight="1">
      <c r="A73" s="40" t="s">
        <v>378</v>
      </c>
      <c r="B73" s="41" t="s">
        <v>104</v>
      </c>
      <c r="C73" s="41" t="s">
        <v>48</v>
      </c>
      <c r="D73" s="41" t="s">
        <v>379</v>
      </c>
      <c r="E73" s="41" t="s">
        <v>376</v>
      </c>
      <c r="F73" s="41" t="s">
        <v>300</v>
      </c>
      <c r="G73" s="41" t="s">
        <v>92</v>
      </c>
      <c r="H73" s="66" t="s">
        <v>380</v>
      </c>
      <c r="J73" s="1"/>
      <c r="K73" s="44" t="s">
        <v>113</v>
      </c>
      <c r="L73" s="47">
        <v>45321.0</v>
      </c>
      <c r="M73" s="1"/>
      <c r="N73" s="41" t="s">
        <v>115</v>
      </c>
      <c r="O73" s="41" t="s">
        <v>123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2.0" customHeight="1">
      <c r="A74" s="48" t="s">
        <v>381</v>
      </c>
      <c r="B74" s="41" t="s">
        <v>382</v>
      </c>
      <c r="C74" s="41" t="s">
        <v>383</v>
      </c>
      <c r="D74" s="41" t="s">
        <v>384</v>
      </c>
      <c r="E74" s="41" t="s">
        <v>385</v>
      </c>
      <c r="F74" s="41" t="s">
        <v>386</v>
      </c>
      <c r="G74" s="41" t="s">
        <v>92</v>
      </c>
      <c r="H74" s="76" t="s">
        <v>387</v>
      </c>
      <c r="I74" s="1"/>
      <c r="J74" s="1"/>
      <c r="K74" s="44" t="s">
        <v>113</v>
      </c>
      <c r="L74" s="1"/>
      <c r="M74" s="1"/>
      <c r="N74" s="41" t="s">
        <v>115</v>
      </c>
      <c r="O74" s="41" t="s">
        <v>115</v>
      </c>
      <c r="P74" s="77">
        <v>45324.0</v>
      </c>
      <c r="Q74" s="41" t="s">
        <v>117</v>
      </c>
      <c r="R74" s="41" t="s">
        <v>166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2.0" customHeight="1">
      <c r="A75" s="78"/>
      <c r="B75" s="79"/>
      <c r="C75" s="79"/>
      <c r="D75" s="7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2.0" customHeight="1">
      <c r="A76" s="79"/>
      <c r="B76" s="79"/>
      <c r="C76" s="79"/>
      <c r="D76" s="8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2.0" customHeight="1">
      <c r="A77" s="80"/>
      <c r="B77" s="80"/>
      <c r="C77" s="80"/>
      <c r="D77" s="8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2.0" customHeight="1">
      <c r="A78" s="41"/>
      <c r="B78" s="41"/>
      <c r="C78" s="41"/>
      <c r="D78" s="4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2.0" customHeight="1">
      <c r="A79" s="41"/>
      <c r="B79" s="41"/>
      <c r="C79" s="41"/>
      <c r="D79" s="4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2.0" customHeight="1">
      <c r="A85" s="78" t="s">
        <v>388</v>
      </c>
      <c r="B85" s="81"/>
      <c r="C85" s="81"/>
      <c r="D85" s="8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2.0" customHeight="1">
      <c r="A86" s="79" t="s">
        <v>105</v>
      </c>
      <c r="B86" s="79" t="s">
        <v>117</v>
      </c>
      <c r="C86" s="79"/>
      <c r="D86" s="79" t="s">
        <v>389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2.0" customHeight="1">
      <c r="A87" s="79" t="s">
        <v>390</v>
      </c>
      <c r="B87" s="79" t="s">
        <v>117</v>
      </c>
      <c r="C87" s="79"/>
      <c r="D87" s="79" t="s">
        <v>391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2.0" customHeight="1">
      <c r="A88" s="79" t="s">
        <v>392</v>
      </c>
      <c r="B88" s="79" t="s">
        <v>117</v>
      </c>
      <c r="C88" s="79"/>
      <c r="D88" s="79" t="s">
        <v>391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2.0" customHeight="1">
      <c r="A89" s="79" t="s">
        <v>393</v>
      </c>
      <c r="B89" s="79" t="s">
        <v>117</v>
      </c>
      <c r="C89" s="79"/>
      <c r="D89" s="79" t="s">
        <v>389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2.0" customHeight="1">
      <c r="A90" s="41" t="s">
        <v>394</v>
      </c>
      <c r="B90" s="41" t="s">
        <v>117</v>
      </c>
      <c r="C90" s="41"/>
      <c r="D90" s="41" t="s">
        <v>395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2.0" customHeight="1">
      <c r="A91" s="41" t="s">
        <v>396</v>
      </c>
      <c r="B91" s="41" t="s">
        <v>117</v>
      </c>
      <c r="C91" s="41"/>
      <c r="D91" s="41" t="s">
        <v>397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2.0" customHeight="1">
      <c r="A92" s="41" t="s">
        <v>398</v>
      </c>
      <c r="B92" s="41" t="s">
        <v>117</v>
      </c>
      <c r="C92" s="41"/>
      <c r="D92" s="41" t="s">
        <v>389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2.0" customHeight="1">
      <c r="A93" s="41" t="s">
        <v>399</v>
      </c>
      <c r="B93" s="41" t="s">
        <v>117</v>
      </c>
      <c r="C93" s="41"/>
      <c r="D93" s="41" t="s">
        <v>389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2.0" customHeight="1">
      <c r="A94" s="41" t="s">
        <v>400</v>
      </c>
      <c r="B94" s="41" t="s">
        <v>117</v>
      </c>
      <c r="C94" s="4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2.0" customHeight="1">
      <c r="A95" s="41" t="s">
        <v>198</v>
      </c>
      <c r="B95" s="41" t="s">
        <v>117</v>
      </c>
      <c r="C95" s="41"/>
      <c r="D95" s="41" t="s">
        <v>401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2.0" customHeight="1">
      <c r="A96" s="41" t="s">
        <v>402</v>
      </c>
      <c r="B96" s="41" t="s">
        <v>403</v>
      </c>
      <c r="C96" s="41"/>
      <c r="D96" s="41" t="s">
        <v>389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2.0" customHeight="1">
      <c r="A97" s="41" t="s">
        <v>404</v>
      </c>
      <c r="B97" s="41" t="s">
        <v>403</v>
      </c>
      <c r="C97" s="41"/>
      <c r="D97" s="41" t="s">
        <v>391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2.0" customHeight="1">
      <c r="A98" s="41" t="s">
        <v>405</v>
      </c>
      <c r="B98" s="41" t="s">
        <v>403</v>
      </c>
      <c r="C98" s="41"/>
      <c r="D98" s="41" t="s">
        <v>391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2.0" customHeight="1">
      <c r="A99" s="41" t="s">
        <v>406</v>
      </c>
      <c r="B99" s="41" t="s">
        <v>403</v>
      </c>
      <c r="C99" s="41"/>
      <c r="D99" s="41" t="s">
        <v>391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2.0" customHeight="1">
      <c r="A100" s="41" t="s">
        <v>407</v>
      </c>
      <c r="B100" s="41" t="s">
        <v>117</v>
      </c>
      <c r="C100" s="41"/>
      <c r="D100" s="41" t="s">
        <v>391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2.0" customHeight="1">
      <c r="A101" s="41" t="s">
        <v>408</v>
      </c>
      <c r="B101" s="41" t="s">
        <v>117</v>
      </c>
      <c r="C101" s="41"/>
      <c r="D101" s="41" t="s">
        <v>391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2.0" customHeight="1">
      <c r="A102" s="41" t="s">
        <v>409</v>
      </c>
      <c r="B102" s="41" t="s">
        <v>117</v>
      </c>
      <c r="C102" s="41"/>
      <c r="D102" s="41" t="s">
        <v>391</v>
      </c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2.0" customHeight="1">
      <c r="A103" s="41" t="s">
        <v>410</v>
      </c>
      <c r="B103" s="41" t="s">
        <v>411</v>
      </c>
      <c r="C103" s="41"/>
      <c r="D103" s="41" t="s">
        <v>391</v>
      </c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2.0" customHeight="1">
      <c r="A104" s="41" t="s">
        <v>412</v>
      </c>
      <c r="B104" s="41" t="s">
        <v>117</v>
      </c>
      <c r="C104" s="41"/>
      <c r="D104" s="41" t="s">
        <v>413</v>
      </c>
      <c r="E104" s="8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2.0" customHeight="1">
      <c r="A105" s="41" t="s">
        <v>414</v>
      </c>
      <c r="B105" s="41" t="s">
        <v>117</v>
      </c>
      <c r="C105" s="41"/>
      <c r="D105" s="41" t="s">
        <v>413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2.0" customHeight="1">
      <c r="A106" s="41" t="s">
        <v>415</v>
      </c>
      <c r="B106" s="41" t="s">
        <v>117</v>
      </c>
      <c r="C106" s="4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2.0" customHeight="1">
      <c r="A107" s="41" t="s">
        <v>416</v>
      </c>
      <c r="B107" s="41" t="s">
        <v>117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2.0" customHeight="1">
      <c r="A108" s="41" t="s">
        <v>417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2.0" customHeight="1">
      <c r="A109" s="41" t="s">
        <v>418</v>
      </c>
      <c r="B109" s="41" t="s">
        <v>117</v>
      </c>
      <c r="C109" s="41"/>
      <c r="D109" s="41" t="s">
        <v>413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2.0" customHeight="1">
      <c r="A110" s="41" t="s">
        <v>419</v>
      </c>
      <c r="B110" s="83" t="s">
        <v>403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2.0" customHeight="1">
      <c r="A111" s="4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2.0" customHeight="1">
      <c r="A112" s="41" t="s">
        <v>48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2.0" customHeight="1">
      <c r="A113" s="41" t="s">
        <v>420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2.0" customHeight="1">
      <c r="A114" s="41" t="s">
        <v>421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2.0" customHeight="1">
      <c r="A115" s="41" t="s">
        <v>422</v>
      </c>
      <c r="B115" s="41" t="s">
        <v>423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ht="12.0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ht="12.0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ht="12.0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ht="12.0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ht="12.0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ht="12.0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ht="12.0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 ht="12.0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 ht="12.0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 ht="12.0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</sheetData>
  <mergeCells count="2">
    <mergeCell ref="H59:I59"/>
    <mergeCell ref="H73:I73"/>
  </mergeCells>
  <hyperlinks>
    <hyperlink r:id="rId1" ref="K17"/>
    <hyperlink r:id="rId2" ref="K18"/>
    <hyperlink r:id="rId3" ref="K19"/>
    <hyperlink r:id="rId4" ref="K20"/>
    <hyperlink r:id="rId5" ref="K21"/>
    <hyperlink r:id="rId6" ref="K22"/>
    <hyperlink r:id="rId7" ref="K23"/>
    <hyperlink r:id="rId8" ref="K24"/>
    <hyperlink r:id="rId9" ref="K25"/>
    <hyperlink r:id="rId10" ref="K26"/>
    <hyperlink r:id="rId11" ref="K27"/>
    <hyperlink r:id="rId12" ref="K28"/>
    <hyperlink r:id="rId13" ref="K30"/>
    <hyperlink r:id="rId14" ref="K31"/>
    <hyperlink r:id="rId15" ref="K32"/>
    <hyperlink r:id="rId16" ref="K33"/>
    <hyperlink r:id="rId17" ref="K34"/>
    <hyperlink r:id="rId18" ref="K35"/>
    <hyperlink r:id="rId19" ref="K36"/>
    <hyperlink r:id="rId20" ref="K38"/>
    <hyperlink r:id="rId21" ref="K39"/>
    <hyperlink r:id="rId22" ref="K40"/>
    <hyperlink r:id="rId23" ref="H41"/>
    <hyperlink r:id="rId24" ref="K41"/>
    <hyperlink r:id="rId25" ref="K42"/>
    <hyperlink r:id="rId26" ref="K43"/>
    <hyperlink r:id="rId27" ref="K45"/>
    <hyperlink r:id="rId28" ref="K46"/>
    <hyperlink r:id="rId29" ref="K47"/>
    <hyperlink r:id="rId30" ref="K48"/>
    <hyperlink r:id="rId31" ref="K49"/>
    <hyperlink r:id="rId32" ref="K50"/>
    <hyperlink r:id="rId33" ref="K52"/>
    <hyperlink r:id="rId34" ref="K53"/>
    <hyperlink r:id="rId35" ref="K54"/>
    <hyperlink r:id="rId36" ref="K57"/>
    <hyperlink r:id="rId37" ref="K59"/>
    <hyperlink r:id="rId38" ref="K60"/>
    <hyperlink r:id="rId39" ref="K61"/>
    <hyperlink r:id="rId40" ref="K62"/>
    <hyperlink r:id="rId41" ref="H64"/>
    <hyperlink r:id="rId42" ref="K64"/>
    <hyperlink r:id="rId43" ref="H65"/>
    <hyperlink r:id="rId44" ref="K65"/>
    <hyperlink r:id="rId45" ref="K66"/>
    <hyperlink r:id="rId46" ref="H67"/>
    <hyperlink r:id="rId47" ref="K67"/>
    <hyperlink r:id="rId48" ref="K69"/>
    <hyperlink r:id="rId49" ref="K70"/>
    <hyperlink r:id="rId50" ref="K71"/>
    <hyperlink r:id="rId51" ref="K72"/>
    <hyperlink r:id="rId52" ref="K73"/>
    <hyperlink r:id="rId53" ref="K74"/>
  </hyperlinks>
  <printOptions/>
  <pageMargins bottom="0.75" footer="0.0" header="0.0" left="0.7" right="0.7" top="0.75"/>
  <pageSetup orientation="portrait"/>
  <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40.63"/>
    <col customWidth="1" min="3" max="3" width="30.63"/>
    <col customWidth="1" min="4" max="26" width="8.88"/>
  </cols>
  <sheetData>
    <row r="1" ht="12.0" customHeight="1">
      <c r="D1" s="2"/>
    </row>
    <row r="2" ht="12.0" customHeight="1">
      <c r="B2" s="3" t="s">
        <v>0</v>
      </c>
      <c r="C2" s="3" t="s">
        <v>1</v>
      </c>
      <c r="D2" s="2"/>
    </row>
    <row r="3" ht="12.0" customHeight="1">
      <c r="B3" s="4" t="s">
        <v>2</v>
      </c>
      <c r="C3" s="5"/>
      <c r="D3" s="2"/>
    </row>
    <row r="4" ht="12.0" customHeight="1">
      <c r="B4" s="6" t="s">
        <v>3</v>
      </c>
      <c r="C4" s="7" t="s">
        <v>5</v>
      </c>
      <c r="D4" s="2"/>
    </row>
    <row r="5" ht="12.0" customHeight="1">
      <c r="B5" s="9" t="s">
        <v>6</v>
      </c>
      <c r="C5" s="7" t="s">
        <v>8</v>
      </c>
      <c r="D5" s="2"/>
    </row>
    <row r="6" ht="12.0" customHeight="1">
      <c r="B6" s="6" t="s">
        <v>9</v>
      </c>
      <c r="C6" s="7" t="s">
        <v>11</v>
      </c>
      <c r="D6" s="2"/>
    </row>
    <row r="7" ht="12.0" customHeight="1">
      <c r="B7" s="6" t="s">
        <v>12</v>
      </c>
      <c r="C7" s="7" t="s">
        <v>13</v>
      </c>
      <c r="D7" s="2"/>
    </row>
    <row r="8" ht="12.0" customHeight="1">
      <c r="B8" s="6" t="s">
        <v>14</v>
      </c>
      <c r="C8" s="7" t="s">
        <v>15</v>
      </c>
      <c r="D8" s="2"/>
    </row>
    <row r="9" ht="12.0" customHeight="1">
      <c r="B9" s="6" t="s">
        <v>16</v>
      </c>
      <c r="C9" s="7" t="s">
        <v>17</v>
      </c>
      <c r="D9" s="2" t="s">
        <v>18</v>
      </c>
    </row>
    <row r="10" ht="12.0" customHeight="1">
      <c r="B10" s="6" t="s">
        <v>19</v>
      </c>
      <c r="C10" s="7" t="s">
        <v>20</v>
      </c>
      <c r="D10" s="2"/>
    </row>
    <row r="11" ht="12.0" customHeight="1">
      <c r="B11" s="6" t="s">
        <v>21</v>
      </c>
      <c r="C11" s="7" t="s">
        <v>22</v>
      </c>
      <c r="D11" s="11"/>
    </row>
    <row r="12" ht="12.0" customHeight="1">
      <c r="C12" s="7"/>
      <c r="D12" s="11"/>
    </row>
    <row r="13" ht="12.0" customHeight="1">
      <c r="B13" s="4" t="s">
        <v>24</v>
      </c>
      <c r="C13" s="5"/>
      <c r="D13" s="11"/>
    </row>
    <row r="14" ht="12.0" customHeight="1">
      <c r="B14" s="6" t="s">
        <v>25</v>
      </c>
      <c r="C14" s="7" t="s">
        <v>26</v>
      </c>
      <c r="D14" s="2" t="s">
        <v>27</v>
      </c>
    </row>
    <row r="15" ht="12.0" customHeight="1">
      <c r="B15" s="6" t="s">
        <v>28</v>
      </c>
      <c r="C15" s="7" t="s">
        <v>29</v>
      </c>
      <c r="D15" s="2"/>
    </row>
    <row r="16" ht="12.0" customHeight="1">
      <c r="B16" s="6" t="s">
        <v>30</v>
      </c>
      <c r="C16" s="7" t="s">
        <v>31</v>
      </c>
      <c r="D16" s="2"/>
    </row>
    <row r="17" ht="12.0" customHeight="1">
      <c r="B17" s="6" t="s">
        <v>32</v>
      </c>
      <c r="C17" s="7" t="s">
        <v>33</v>
      </c>
      <c r="D17" s="11"/>
    </row>
    <row r="18" ht="12.0" customHeight="1">
      <c r="B18" s="6" t="s">
        <v>34</v>
      </c>
      <c r="C18" s="15" t="s">
        <v>35</v>
      </c>
      <c r="D18" s="2"/>
    </row>
    <row r="19" ht="12.0" customHeight="1">
      <c r="B19" s="6" t="s">
        <v>37</v>
      </c>
      <c r="C19" s="7" t="s">
        <v>38</v>
      </c>
      <c r="D19" s="11"/>
    </row>
    <row r="20" ht="12.0" customHeight="1">
      <c r="B20" s="6" t="s">
        <v>39</v>
      </c>
      <c r="C20" s="7" t="s">
        <v>40</v>
      </c>
      <c r="D20" s="11"/>
    </row>
    <row r="21" ht="12.0" customHeight="1">
      <c r="B21" s="6" t="s">
        <v>41</v>
      </c>
      <c r="C21" s="7" t="s">
        <v>42</v>
      </c>
      <c r="D21" s="2"/>
    </row>
    <row r="22" ht="12.0" customHeight="1">
      <c r="B22" s="9" t="s">
        <v>43</v>
      </c>
      <c r="C22" s="15" t="s">
        <v>44</v>
      </c>
      <c r="D22" s="2"/>
    </row>
    <row r="23" ht="12.0" customHeight="1">
      <c r="B23" s="9" t="s">
        <v>45</v>
      </c>
      <c r="C23" s="15" t="s">
        <v>46</v>
      </c>
      <c r="D23" s="2"/>
    </row>
    <row r="24" ht="12.0" customHeight="1">
      <c r="B24" s="9" t="s">
        <v>48</v>
      </c>
      <c r="C24" s="15" t="s">
        <v>49</v>
      </c>
      <c r="D24" s="2"/>
    </row>
    <row r="25" ht="12.0" customHeight="1">
      <c r="B25" s="9" t="s">
        <v>50</v>
      </c>
      <c r="C25" s="15" t="s">
        <v>51</v>
      </c>
      <c r="D25" s="2"/>
    </row>
    <row r="26" ht="12.0" customHeight="1">
      <c r="B26" s="6" t="s">
        <v>52</v>
      </c>
      <c r="C26" s="7" t="s">
        <v>53</v>
      </c>
      <c r="D26" s="2"/>
    </row>
    <row r="27" ht="12.0" customHeight="1">
      <c r="B27" s="6" t="s">
        <v>54</v>
      </c>
      <c r="C27" s="7" t="s">
        <v>55</v>
      </c>
      <c r="D27" s="2"/>
    </row>
    <row r="28" ht="12.0" customHeight="1">
      <c r="B28" s="6" t="s">
        <v>56</v>
      </c>
      <c r="C28" s="7" t="s">
        <v>57</v>
      </c>
      <c r="D28" s="2"/>
    </row>
    <row r="29" ht="12.0" customHeight="1">
      <c r="B29" s="6" t="s">
        <v>58</v>
      </c>
      <c r="C29" s="7" t="s">
        <v>59</v>
      </c>
      <c r="D29" s="2"/>
    </row>
    <row r="30" ht="12.0" customHeight="1">
      <c r="B30" s="6" t="s">
        <v>61</v>
      </c>
      <c r="C30" s="18" t="s">
        <v>62</v>
      </c>
      <c r="D30" s="2"/>
    </row>
    <row r="31" ht="12.0" customHeight="1">
      <c r="B31" s="6" t="s">
        <v>63</v>
      </c>
      <c r="C31" s="15" t="s">
        <v>64</v>
      </c>
      <c r="D31" s="2" t="s">
        <v>65</v>
      </c>
    </row>
    <row r="32" ht="12.0" customHeight="1">
      <c r="B32" s="6" t="s">
        <v>66</v>
      </c>
      <c r="C32" s="15" t="s">
        <v>67</v>
      </c>
      <c r="D32" s="2"/>
    </row>
    <row r="33" ht="12.0" customHeight="1">
      <c r="B33" s="6" t="s">
        <v>68</v>
      </c>
      <c r="C33" s="6" t="s">
        <v>70</v>
      </c>
      <c r="D33" s="2"/>
    </row>
    <row r="34" ht="12.0" customHeight="1">
      <c r="C34" s="7"/>
      <c r="D34" s="2"/>
    </row>
    <row r="35" ht="12.0" customHeight="1">
      <c r="B35" s="4" t="s">
        <v>71</v>
      </c>
      <c r="C35" s="5"/>
      <c r="D35" s="2"/>
    </row>
    <row r="36" ht="12.0" customHeight="1">
      <c r="B36" s="6" t="s">
        <v>72</v>
      </c>
      <c r="C36" s="6" t="s">
        <v>73</v>
      </c>
      <c r="D36" s="2"/>
    </row>
    <row r="37" ht="12.0" customHeight="1">
      <c r="B37" s="6" t="s">
        <v>74</v>
      </c>
      <c r="C37" s="7" t="s">
        <v>75</v>
      </c>
      <c r="D37" s="2"/>
    </row>
    <row r="38" ht="12.0" customHeight="1">
      <c r="B38" s="6" t="s">
        <v>76</v>
      </c>
      <c r="C38" s="6" t="s">
        <v>77</v>
      </c>
      <c r="D38" s="2"/>
    </row>
    <row r="39" ht="12.0" customHeight="1">
      <c r="C39" s="7"/>
      <c r="D39" s="2"/>
    </row>
    <row r="40" ht="12.0" customHeight="1">
      <c r="D40" s="2"/>
    </row>
    <row r="41" ht="12.0" customHeight="1">
      <c r="D41" s="2"/>
    </row>
    <row r="42" ht="12.0" customHeight="1">
      <c r="D42" s="2"/>
    </row>
    <row r="43" ht="12.0" customHeight="1">
      <c r="D43" s="2"/>
    </row>
    <row r="44" ht="12.0" customHeight="1">
      <c r="D44" s="2"/>
    </row>
    <row r="45" ht="12.0" customHeight="1">
      <c r="D45" s="2"/>
    </row>
    <row r="46" ht="12.0" customHeight="1">
      <c r="D46" s="2"/>
    </row>
    <row r="47" ht="12.0" customHeight="1">
      <c r="D47" s="2"/>
    </row>
    <row r="48" ht="12.0" customHeight="1">
      <c r="D48" s="2"/>
    </row>
    <row r="49" ht="12.0" customHeight="1">
      <c r="D49" s="2"/>
    </row>
    <row r="50" ht="12.0" customHeight="1">
      <c r="D50" s="2"/>
    </row>
    <row r="51" ht="12.0" customHeight="1">
      <c r="D51" s="2"/>
    </row>
    <row r="52" ht="12.0" customHeight="1">
      <c r="D52" s="2"/>
    </row>
    <row r="53" ht="12.0" customHeight="1">
      <c r="D53" s="2"/>
    </row>
    <row r="54" ht="12.0" customHeight="1">
      <c r="D54" s="2"/>
    </row>
    <row r="55" ht="12.0" customHeight="1">
      <c r="D55" s="2"/>
    </row>
    <row r="56" ht="12.0" customHeight="1">
      <c r="D56" s="2"/>
    </row>
    <row r="57" ht="12.0" customHeight="1">
      <c r="D57" s="2"/>
    </row>
    <row r="58" ht="12.0" customHeight="1">
      <c r="D58" s="2"/>
    </row>
    <row r="59" ht="12.0" customHeight="1">
      <c r="D59" s="2"/>
    </row>
    <row r="60" ht="12.0" customHeight="1">
      <c r="D60" s="2"/>
    </row>
    <row r="61" ht="12.0" customHeight="1">
      <c r="D61" s="2"/>
    </row>
    <row r="62" ht="12.0" customHeight="1">
      <c r="D62" s="2"/>
    </row>
    <row r="63" ht="12.0" customHeight="1">
      <c r="D63" s="2"/>
    </row>
    <row r="64" ht="12.0" customHeight="1">
      <c r="D64" s="2"/>
    </row>
    <row r="65" ht="12.0" customHeight="1">
      <c r="D65" s="2"/>
    </row>
    <row r="66" ht="12.0" customHeight="1">
      <c r="D66" s="2"/>
    </row>
    <row r="67" ht="12.0" customHeight="1">
      <c r="D67" s="2"/>
    </row>
    <row r="68" ht="12.0" customHeight="1">
      <c r="D68" s="2"/>
    </row>
    <row r="69" ht="12.0" customHeight="1">
      <c r="D69" s="2"/>
    </row>
    <row r="70" ht="12.0" customHeight="1">
      <c r="D70" s="2"/>
    </row>
    <row r="71" ht="12.0" customHeight="1">
      <c r="D71" s="2"/>
    </row>
    <row r="72" ht="12.0" customHeight="1">
      <c r="D72" s="2"/>
    </row>
    <row r="73" ht="12.0" customHeight="1">
      <c r="D73" s="2"/>
    </row>
    <row r="74" ht="12.0" customHeight="1">
      <c r="D74" s="2"/>
    </row>
    <row r="75" ht="12.0" customHeight="1">
      <c r="D75" s="2"/>
    </row>
    <row r="76" ht="12.0" customHeight="1">
      <c r="D76" s="2"/>
    </row>
    <row r="77" ht="12.0" customHeight="1">
      <c r="D77" s="2"/>
    </row>
    <row r="78" ht="12.0" customHeight="1">
      <c r="D78" s="2"/>
    </row>
    <row r="79" ht="12.0" customHeight="1">
      <c r="D79" s="2"/>
    </row>
    <row r="80" ht="12.0" customHeight="1">
      <c r="D80" s="2"/>
    </row>
    <row r="81" ht="12.0" customHeight="1">
      <c r="D81" s="2"/>
    </row>
    <row r="82" ht="12.0" customHeight="1">
      <c r="D82" s="2"/>
    </row>
    <row r="83" ht="12.0" customHeight="1">
      <c r="D83" s="2"/>
    </row>
    <row r="84" ht="12.0" customHeight="1">
      <c r="D84" s="2"/>
    </row>
    <row r="85" ht="12.0" customHeight="1">
      <c r="D85" s="2"/>
    </row>
    <row r="86" ht="12.0" customHeight="1">
      <c r="D86" s="2"/>
    </row>
    <row r="87" ht="12.0" customHeight="1">
      <c r="D87" s="2"/>
    </row>
    <row r="88" ht="12.0" customHeight="1">
      <c r="D88" s="2"/>
    </row>
    <row r="89" ht="12.0" customHeight="1">
      <c r="D89" s="2"/>
    </row>
    <row r="90" ht="12.0" customHeight="1">
      <c r="D90" s="2"/>
    </row>
    <row r="91" ht="12.0" customHeight="1">
      <c r="D91" s="2"/>
    </row>
    <row r="92" ht="12.0" customHeight="1">
      <c r="D92" s="2"/>
    </row>
    <row r="93" ht="12.0" customHeight="1">
      <c r="D93" s="2"/>
    </row>
    <row r="94" ht="12.0" customHeight="1">
      <c r="D94" s="2"/>
    </row>
    <row r="95" ht="12.0" customHeight="1">
      <c r="D95" s="2"/>
    </row>
    <row r="96" ht="12.0" customHeight="1">
      <c r="D96" s="2"/>
    </row>
    <row r="97" ht="12.0" customHeight="1">
      <c r="D97" s="2"/>
    </row>
    <row r="98" ht="12.0" customHeight="1">
      <c r="D98" s="2"/>
    </row>
    <row r="99" ht="12.0" customHeight="1">
      <c r="D99" s="2"/>
    </row>
    <row r="100" ht="12.0" customHeight="1">
      <c r="D100" s="2"/>
    </row>
    <row r="101" ht="12.0" customHeight="1">
      <c r="D101" s="2"/>
    </row>
    <row r="102" ht="12.0" customHeight="1">
      <c r="D102" s="2"/>
    </row>
    <row r="103" ht="12.0" customHeight="1">
      <c r="D103" s="2"/>
    </row>
    <row r="104" ht="12.0" customHeight="1">
      <c r="D104" s="2"/>
    </row>
    <row r="105" ht="12.0" customHeight="1">
      <c r="D105" s="2"/>
    </row>
    <row r="106" ht="12.0" customHeight="1">
      <c r="D106" s="2"/>
    </row>
    <row r="107" ht="12.0" customHeight="1">
      <c r="D107" s="2"/>
    </row>
    <row r="108" ht="12.0" customHeight="1">
      <c r="D108" s="2"/>
    </row>
    <row r="109" ht="12.0" customHeight="1">
      <c r="D109" s="2"/>
    </row>
    <row r="110" ht="12.0" customHeight="1">
      <c r="D110" s="2"/>
    </row>
    <row r="111" ht="12.0" customHeight="1">
      <c r="D111" s="2"/>
    </row>
    <row r="112" ht="12.0" customHeight="1">
      <c r="D112" s="2"/>
    </row>
    <row r="113" ht="12.0" customHeight="1">
      <c r="D113" s="2"/>
    </row>
    <row r="114" ht="12.0" customHeight="1">
      <c r="D114" s="2"/>
    </row>
    <row r="115" ht="12.0" customHeight="1">
      <c r="D115" s="2"/>
    </row>
    <row r="116" ht="12.0" customHeight="1">
      <c r="D116" s="2"/>
    </row>
    <row r="117" ht="12.0" customHeight="1">
      <c r="D117" s="2"/>
    </row>
    <row r="118" ht="12.0" customHeight="1">
      <c r="D118" s="2"/>
    </row>
    <row r="119" ht="12.0" customHeight="1">
      <c r="D119" s="2"/>
    </row>
    <row r="120" ht="12.0" customHeight="1">
      <c r="D120" s="2"/>
    </row>
    <row r="121" ht="12.0" customHeight="1">
      <c r="D121" s="2"/>
    </row>
    <row r="122" ht="12.0" customHeight="1">
      <c r="D122" s="2"/>
    </row>
    <row r="123" ht="12.0" customHeight="1">
      <c r="D123" s="2"/>
    </row>
    <row r="124" ht="12.0" customHeight="1">
      <c r="D124" s="2"/>
    </row>
    <row r="125" ht="12.0" customHeight="1">
      <c r="D125" s="2"/>
    </row>
    <row r="126" ht="12.0" customHeight="1">
      <c r="D126" s="2"/>
    </row>
    <row r="127" ht="12.0" customHeight="1">
      <c r="D127" s="2"/>
    </row>
    <row r="128" ht="12.0" customHeight="1">
      <c r="D128" s="2"/>
    </row>
    <row r="129" ht="12.0" customHeight="1">
      <c r="D129" s="2"/>
    </row>
    <row r="130" ht="12.0" customHeight="1">
      <c r="D130" s="2"/>
    </row>
    <row r="131" ht="12.0" customHeight="1">
      <c r="D131" s="2"/>
    </row>
    <row r="132" ht="12.0" customHeight="1">
      <c r="D132" s="2"/>
    </row>
    <row r="133" ht="12.0" customHeight="1">
      <c r="D133" s="2"/>
    </row>
    <row r="134" ht="12.0" customHeight="1">
      <c r="D134" s="2"/>
    </row>
    <row r="135" ht="12.0" customHeight="1">
      <c r="D135" s="2"/>
    </row>
    <row r="136" ht="12.0" customHeight="1">
      <c r="D136" s="2"/>
    </row>
    <row r="137" ht="12.0" customHeight="1">
      <c r="D137" s="2"/>
    </row>
    <row r="138" ht="12.0" customHeight="1">
      <c r="D138" s="2"/>
    </row>
    <row r="139" ht="12.0" customHeight="1">
      <c r="D139" s="2"/>
    </row>
    <row r="140" ht="12.0" customHeight="1">
      <c r="D140" s="2"/>
    </row>
    <row r="141" ht="12.0" customHeight="1">
      <c r="D141" s="2"/>
    </row>
    <row r="142" ht="12.0" customHeight="1">
      <c r="D142" s="2"/>
    </row>
    <row r="143" ht="12.0" customHeight="1">
      <c r="D143" s="2"/>
    </row>
    <row r="144" ht="12.0" customHeight="1">
      <c r="D144" s="2"/>
    </row>
    <row r="145" ht="12.0" customHeight="1">
      <c r="D145" s="2"/>
    </row>
    <row r="146" ht="12.0" customHeight="1">
      <c r="D146" s="2"/>
    </row>
    <row r="147" ht="12.0" customHeight="1">
      <c r="D147" s="2"/>
    </row>
    <row r="148" ht="12.0" customHeight="1">
      <c r="D148" s="2"/>
    </row>
    <row r="149" ht="12.0" customHeight="1">
      <c r="D149" s="2"/>
    </row>
    <row r="150" ht="12.0" customHeight="1">
      <c r="D150" s="2"/>
    </row>
    <row r="151" ht="12.0" customHeight="1">
      <c r="D151" s="2"/>
    </row>
    <row r="152" ht="12.0" customHeight="1">
      <c r="D152" s="2"/>
    </row>
    <row r="153" ht="12.0" customHeight="1">
      <c r="D153" s="2"/>
    </row>
    <row r="154" ht="12.0" customHeight="1">
      <c r="D154" s="2"/>
    </row>
    <row r="155" ht="12.0" customHeight="1">
      <c r="D155" s="2"/>
    </row>
    <row r="156" ht="12.0" customHeight="1">
      <c r="D156" s="2"/>
    </row>
    <row r="157" ht="12.0" customHeight="1">
      <c r="D157" s="2"/>
    </row>
    <row r="158" ht="12.0" customHeight="1">
      <c r="D158" s="2"/>
    </row>
    <row r="159" ht="12.0" customHeight="1">
      <c r="D159" s="2"/>
    </row>
    <row r="160" ht="12.0" customHeight="1">
      <c r="D160" s="2"/>
    </row>
    <row r="161" ht="12.0" customHeight="1">
      <c r="D161" s="2"/>
    </row>
    <row r="162" ht="12.0" customHeight="1">
      <c r="D162" s="2"/>
    </row>
    <row r="163" ht="12.0" customHeight="1">
      <c r="D163" s="2"/>
    </row>
    <row r="164" ht="12.0" customHeight="1">
      <c r="D164" s="2"/>
    </row>
    <row r="165" ht="12.0" customHeight="1">
      <c r="D165" s="2"/>
    </row>
    <row r="166" ht="12.0" customHeight="1">
      <c r="D166" s="2"/>
    </row>
    <row r="167" ht="12.0" customHeight="1">
      <c r="D167" s="2"/>
    </row>
    <row r="168" ht="12.0" customHeight="1">
      <c r="D168" s="2"/>
    </row>
    <row r="169" ht="12.0" customHeight="1">
      <c r="D169" s="2"/>
    </row>
    <row r="170" ht="12.0" customHeight="1">
      <c r="D170" s="2"/>
    </row>
    <row r="171" ht="12.0" customHeight="1">
      <c r="D171" s="2"/>
    </row>
    <row r="172" ht="12.0" customHeight="1">
      <c r="D172" s="2"/>
    </row>
    <row r="173" ht="12.0" customHeight="1">
      <c r="D173" s="2"/>
    </row>
    <row r="174" ht="12.0" customHeight="1">
      <c r="D174" s="2"/>
    </row>
    <row r="175" ht="12.0" customHeight="1">
      <c r="D175" s="2"/>
    </row>
    <row r="176" ht="12.0" customHeight="1">
      <c r="D176" s="2"/>
    </row>
    <row r="177" ht="12.0" customHeight="1">
      <c r="D177" s="2"/>
    </row>
    <row r="178" ht="12.0" customHeight="1">
      <c r="D178" s="2"/>
    </row>
    <row r="179" ht="12.0" customHeight="1">
      <c r="D179" s="2"/>
    </row>
    <row r="180" ht="12.0" customHeight="1">
      <c r="D180" s="2"/>
    </row>
    <row r="181" ht="12.0" customHeight="1">
      <c r="D181" s="2"/>
    </row>
    <row r="182" ht="12.0" customHeight="1">
      <c r="D182" s="2"/>
    </row>
    <row r="183" ht="12.0" customHeight="1">
      <c r="D183" s="2"/>
    </row>
    <row r="184" ht="12.0" customHeight="1">
      <c r="D184" s="2"/>
    </row>
    <row r="185" ht="12.0" customHeight="1">
      <c r="D185" s="2"/>
    </row>
    <row r="186" ht="12.0" customHeight="1">
      <c r="D186" s="2"/>
    </row>
    <row r="187" ht="12.0" customHeight="1">
      <c r="D187" s="2"/>
    </row>
    <row r="188" ht="12.0" customHeight="1">
      <c r="D188" s="2"/>
    </row>
    <row r="189" ht="12.0" customHeight="1">
      <c r="D189" s="2"/>
    </row>
    <row r="190" ht="12.0" customHeight="1">
      <c r="D190" s="2"/>
    </row>
    <row r="191" ht="12.0" customHeight="1">
      <c r="D191" s="2"/>
    </row>
    <row r="192" ht="12.0" customHeight="1">
      <c r="D192" s="2"/>
    </row>
    <row r="193" ht="12.0" customHeight="1">
      <c r="D193" s="2"/>
    </row>
    <row r="194" ht="12.0" customHeight="1">
      <c r="D194" s="2"/>
    </row>
    <row r="195" ht="12.0" customHeight="1">
      <c r="D195" s="2"/>
    </row>
    <row r="196" ht="12.0" customHeight="1">
      <c r="D196" s="2"/>
    </row>
    <row r="197" ht="12.0" customHeight="1">
      <c r="D197" s="2"/>
    </row>
    <row r="198" ht="12.0" customHeight="1">
      <c r="D198" s="2"/>
    </row>
    <row r="199" ht="12.0" customHeight="1">
      <c r="D199" s="2"/>
    </row>
    <row r="200" ht="12.0" customHeight="1">
      <c r="D200" s="2"/>
    </row>
    <row r="201" ht="12.0" customHeight="1">
      <c r="D201" s="2"/>
    </row>
    <row r="202" ht="12.0" customHeight="1">
      <c r="D202" s="2"/>
    </row>
    <row r="203" ht="12.0" customHeight="1">
      <c r="D203" s="2"/>
    </row>
    <row r="204" ht="12.0" customHeight="1">
      <c r="D204" s="2"/>
    </row>
    <row r="205" ht="12.0" customHeight="1">
      <c r="D205" s="2"/>
    </row>
    <row r="206" ht="12.0" customHeight="1">
      <c r="D206" s="2"/>
    </row>
    <row r="207" ht="12.0" customHeight="1">
      <c r="D207" s="2"/>
    </row>
    <row r="208" ht="12.0" customHeight="1">
      <c r="D208" s="2"/>
    </row>
    <row r="209" ht="12.0" customHeight="1">
      <c r="D209" s="2"/>
    </row>
    <row r="210" ht="12.0" customHeight="1">
      <c r="D210" s="2"/>
    </row>
    <row r="211" ht="12.0" customHeight="1">
      <c r="D211" s="2"/>
    </row>
    <row r="212" ht="12.0" customHeight="1">
      <c r="D212" s="2"/>
    </row>
    <row r="213" ht="12.0" customHeight="1">
      <c r="D213" s="2"/>
    </row>
    <row r="214" ht="12.0" customHeight="1">
      <c r="D214" s="2"/>
    </row>
    <row r="215" ht="12.0" customHeight="1">
      <c r="D215" s="2"/>
    </row>
    <row r="216" ht="12.0" customHeight="1">
      <c r="D216" s="2"/>
    </row>
    <row r="217" ht="12.0" customHeight="1">
      <c r="D217" s="2"/>
    </row>
    <row r="218" ht="12.0" customHeight="1">
      <c r="D218" s="2"/>
    </row>
    <row r="219" ht="12.0" customHeight="1">
      <c r="D219" s="2"/>
    </row>
    <row r="220" ht="12.0" customHeight="1">
      <c r="D220" s="2"/>
    </row>
    <row r="221" ht="12.0" customHeight="1">
      <c r="D221" s="2"/>
    </row>
    <row r="222" ht="12.0" customHeight="1">
      <c r="D222" s="2"/>
    </row>
    <row r="223" ht="12.0" customHeight="1">
      <c r="D223" s="2"/>
    </row>
    <row r="224" ht="12.0" customHeight="1">
      <c r="D224" s="2"/>
    </row>
    <row r="225" ht="12.0" customHeight="1">
      <c r="D225" s="2"/>
    </row>
    <row r="226" ht="12.0" customHeight="1">
      <c r="D226" s="2"/>
    </row>
    <row r="227" ht="12.0" customHeight="1">
      <c r="D227" s="2"/>
    </row>
    <row r="228" ht="12.0" customHeight="1">
      <c r="D228" s="2"/>
    </row>
    <row r="229" ht="12.0" customHeight="1">
      <c r="D229" s="2"/>
    </row>
    <row r="230" ht="12.0" customHeight="1">
      <c r="D230" s="2"/>
    </row>
    <row r="231" ht="12.0" customHeight="1">
      <c r="D231" s="2"/>
    </row>
    <row r="232" ht="12.0" customHeight="1">
      <c r="D232" s="2"/>
    </row>
    <row r="233" ht="12.0" customHeight="1">
      <c r="D233" s="2"/>
    </row>
    <row r="234" ht="12.0" customHeight="1">
      <c r="D234" s="2"/>
    </row>
    <row r="235" ht="12.0" customHeight="1">
      <c r="D235" s="2"/>
    </row>
    <row r="236" ht="12.0" customHeight="1">
      <c r="D236" s="2"/>
    </row>
    <row r="237" ht="12.0" customHeight="1">
      <c r="D237" s="2"/>
    </row>
    <row r="238" ht="12.0" customHeight="1">
      <c r="D238" s="2"/>
    </row>
    <row r="239" ht="12.0" customHeight="1">
      <c r="D239" s="2"/>
    </row>
    <row r="240" ht="12.0" customHeight="1">
      <c r="D240" s="2"/>
    </row>
    <row r="241" ht="12.0" customHeight="1">
      <c r="D241" s="2"/>
    </row>
    <row r="242" ht="12.0" customHeight="1">
      <c r="D242" s="2"/>
    </row>
    <row r="243" ht="12.0" customHeight="1">
      <c r="D243" s="2"/>
    </row>
    <row r="244" ht="12.0" customHeight="1">
      <c r="D244" s="2"/>
    </row>
    <row r="245" ht="12.0" customHeight="1">
      <c r="D245" s="2"/>
    </row>
    <row r="246" ht="12.0" customHeight="1">
      <c r="D246" s="2"/>
    </row>
    <row r="247" ht="12.0" customHeight="1">
      <c r="D247" s="2"/>
    </row>
    <row r="248" ht="12.0" customHeight="1">
      <c r="D248" s="2"/>
    </row>
    <row r="249" ht="12.0" customHeight="1">
      <c r="D249" s="2"/>
    </row>
    <row r="250" ht="12.0" customHeight="1">
      <c r="D250" s="2"/>
    </row>
    <row r="251" ht="12.0" customHeight="1">
      <c r="D251" s="2"/>
    </row>
    <row r="252" ht="12.0" customHeight="1">
      <c r="D252" s="2"/>
    </row>
    <row r="253" ht="12.0" customHeight="1">
      <c r="D253" s="2"/>
    </row>
    <row r="254" ht="12.0" customHeight="1">
      <c r="D254" s="2"/>
    </row>
    <row r="255" ht="12.0" customHeight="1">
      <c r="D255" s="2"/>
    </row>
    <row r="256" ht="12.0" customHeight="1">
      <c r="D256" s="2"/>
    </row>
    <row r="257" ht="12.0" customHeight="1">
      <c r="D257" s="2"/>
    </row>
    <row r="258" ht="12.0" customHeight="1">
      <c r="D258" s="2"/>
    </row>
    <row r="259" ht="12.0" customHeight="1">
      <c r="D259" s="2"/>
    </row>
    <row r="260" ht="12.0" customHeight="1">
      <c r="D260" s="2"/>
    </row>
    <row r="261" ht="12.0" customHeight="1">
      <c r="D261" s="2"/>
    </row>
    <row r="262" ht="12.0" customHeight="1">
      <c r="D262" s="2"/>
    </row>
    <row r="263" ht="12.0" customHeight="1">
      <c r="D263" s="2"/>
    </row>
    <row r="264" ht="12.0" customHeight="1">
      <c r="D264" s="2"/>
    </row>
    <row r="265" ht="12.0" customHeight="1">
      <c r="D265" s="2"/>
    </row>
    <row r="266" ht="12.0" customHeight="1">
      <c r="D266" s="2"/>
    </row>
    <row r="267" ht="12.0" customHeight="1">
      <c r="D267" s="2"/>
    </row>
    <row r="268" ht="12.0" customHeight="1">
      <c r="D268" s="2"/>
    </row>
    <row r="269" ht="12.0" customHeight="1">
      <c r="D269" s="2"/>
    </row>
    <row r="270" ht="12.0" customHeight="1">
      <c r="D270" s="2"/>
    </row>
    <row r="271" ht="12.0" customHeight="1">
      <c r="D271" s="2"/>
    </row>
    <row r="272" ht="12.0" customHeight="1">
      <c r="D272" s="2"/>
    </row>
    <row r="273" ht="12.0" customHeight="1">
      <c r="D273" s="2"/>
    </row>
    <row r="274" ht="12.0" customHeight="1">
      <c r="D274" s="2"/>
    </row>
    <row r="275" ht="12.0" customHeight="1">
      <c r="D275" s="2"/>
    </row>
    <row r="276" ht="12.0" customHeight="1">
      <c r="D276" s="2"/>
    </row>
    <row r="277" ht="12.0" customHeight="1">
      <c r="D277" s="2"/>
    </row>
    <row r="278" ht="12.0" customHeight="1">
      <c r="D278" s="2"/>
    </row>
    <row r="279" ht="12.0" customHeight="1">
      <c r="D279" s="2"/>
    </row>
    <row r="280" ht="12.0" customHeight="1">
      <c r="D280" s="2"/>
    </row>
    <row r="281" ht="12.0" customHeight="1">
      <c r="D281" s="2"/>
    </row>
    <row r="282" ht="12.0" customHeight="1">
      <c r="D282" s="2"/>
    </row>
    <row r="283" ht="12.0" customHeight="1">
      <c r="D283" s="2"/>
    </row>
    <row r="284" ht="12.0" customHeight="1">
      <c r="D284" s="2"/>
    </row>
    <row r="285" ht="12.0" customHeight="1">
      <c r="D285" s="2"/>
    </row>
    <row r="286" ht="12.0" customHeight="1">
      <c r="D286" s="2"/>
    </row>
    <row r="287" ht="12.0" customHeight="1">
      <c r="D287" s="2"/>
    </row>
    <row r="288" ht="12.0" customHeight="1">
      <c r="D288" s="2"/>
    </row>
    <row r="289" ht="12.0" customHeight="1">
      <c r="D289" s="2"/>
    </row>
    <row r="290" ht="12.0" customHeight="1">
      <c r="D290" s="2"/>
    </row>
    <row r="291" ht="12.0" customHeight="1">
      <c r="D291" s="2"/>
    </row>
    <row r="292" ht="12.0" customHeight="1">
      <c r="D292" s="2"/>
    </row>
    <row r="293" ht="12.0" customHeight="1">
      <c r="D293" s="2"/>
    </row>
    <row r="294" ht="12.0" customHeight="1">
      <c r="D294" s="2"/>
    </row>
    <row r="295" ht="12.0" customHeight="1">
      <c r="D295" s="2"/>
    </row>
    <row r="296" ht="12.0" customHeight="1">
      <c r="D296" s="2"/>
    </row>
    <row r="297" ht="12.0" customHeight="1">
      <c r="D297" s="2"/>
    </row>
    <row r="298" ht="12.0" customHeight="1">
      <c r="D298" s="2"/>
    </row>
    <row r="299" ht="12.0" customHeight="1">
      <c r="D299" s="2"/>
    </row>
    <row r="300" ht="12.0" customHeight="1">
      <c r="D300" s="2"/>
    </row>
    <row r="301" ht="12.0" customHeight="1">
      <c r="D301" s="2"/>
    </row>
    <row r="302" ht="12.0" customHeight="1">
      <c r="D302" s="2"/>
    </row>
    <row r="303" ht="12.0" customHeight="1">
      <c r="D303" s="2"/>
    </row>
    <row r="304" ht="12.0" customHeight="1">
      <c r="D304" s="2"/>
    </row>
    <row r="305" ht="12.0" customHeight="1">
      <c r="D305" s="2"/>
    </row>
    <row r="306" ht="12.0" customHeight="1">
      <c r="D306" s="2"/>
    </row>
    <row r="307" ht="12.0" customHeight="1">
      <c r="D307" s="2"/>
    </row>
    <row r="308" ht="12.0" customHeight="1">
      <c r="D308" s="2"/>
    </row>
    <row r="309" ht="12.0" customHeight="1">
      <c r="D309" s="2"/>
    </row>
    <row r="310" ht="12.0" customHeight="1">
      <c r="D310" s="2"/>
    </row>
    <row r="311" ht="12.0" customHeight="1">
      <c r="D311" s="2"/>
    </row>
    <row r="312" ht="12.0" customHeight="1">
      <c r="D312" s="2"/>
    </row>
    <row r="313" ht="12.0" customHeight="1">
      <c r="D313" s="2"/>
    </row>
    <row r="314" ht="12.0" customHeight="1">
      <c r="D314" s="2"/>
    </row>
    <row r="315" ht="12.0" customHeight="1">
      <c r="D315" s="2"/>
    </row>
    <row r="316" ht="12.0" customHeight="1">
      <c r="D316" s="2"/>
    </row>
    <row r="317" ht="12.0" customHeight="1">
      <c r="D317" s="2"/>
    </row>
    <row r="318" ht="12.0" customHeight="1">
      <c r="D318" s="2"/>
    </row>
    <row r="319" ht="12.0" customHeight="1">
      <c r="D319" s="2"/>
    </row>
    <row r="320" ht="12.0" customHeight="1">
      <c r="D320" s="2"/>
    </row>
    <row r="321" ht="12.0" customHeight="1">
      <c r="D321" s="2"/>
    </row>
    <row r="322" ht="12.0" customHeight="1">
      <c r="D322" s="2"/>
    </row>
    <row r="323" ht="12.0" customHeight="1">
      <c r="D323" s="2"/>
    </row>
    <row r="324" ht="12.0" customHeight="1">
      <c r="D324" s="2"/>
    </row>
    <row r="325" ht="12.0" customHeight="1">
      <c r="D325" s="2"/>
    </row>
    <row r="326" ht="12.0" customHeight="1">
      <c r="D326" s="2"/>
    </row>
    <row r="327" ht="12.0" customHeight="1">
      <c r="D327" s="2"/>
    </row>
    <row r="328" ht="12.0" customHeight="1">
      <c r="D328" s="2"/>
    </row>
    <row r="329" ht="12.0" customHeight="1">
      <c r="D329" s="2"/>
    </row>
    <row r="330" ht="12.0" customHeight="1">
      <c r="D330" s="2"/>
    </row>
    <row r="331" ht="12.0" customHeight="1">
      <c r="D331" s="2"/>
    </row>
    <row r="332" ht="12.0" customHeight="1">
      <c r="D332" s="2"/>
    </row>
    <row r="333" ht="12.0" customHeight="1">
      <c r="D333" s="2"/>
    </row>
    <row r="334" ht="12.0" customHeight="1">
      <c r="D334" s="2"/>
    </row>
    <row r="335" ht="12.0" customHeight="1">
      <c r="D335" s="2"/>
    </row>
    <row r="336" ht="12.0" customHeight="1">
      <c r="D336" s="2"/>
    </row>
    <row r="337" ht="12.0" customHeight="1">
      <c r="D337" s="2"/>
    </row>
    <row r="338" ht="12.0" customHeight="1">
      <c r="D338" s="2"/>
    </row>
    <row r="339" ht="12.0" customHeight="1">
      <c r="D339" s="2"/>
    </row>
    <row r="340" ht="12.0" customHeight="1">
      <c r="D340" s="2"/>
    </row>
    <row r="341" ht="12.0" customHeight="1">
      <c r="D341" s="2"/>
    </row>
    <row r="342" ht="12.0" customHeight="1">
      <c r="D342" s="2"/>
    </row>
    <row r="343" ht="12.0" customHeight="1">
      <c r="D343" s="2"/>
    </row>
    <row r="344" ht="12.0" customHeight="1">
      <c r="D344" s="2"/>
    </row>
    <row r="345" ht="12.0" customHeight="1">
      <c r="D345" s="2"/>
    </row>
    <row r="346" ht="12.0" customHeight="1">
      <c r="D346" s="2"/>
    </row>
    <row r="347" ht="12.0" customHeight="1">
      <c r="D347" s="2"/>
    </row>
    <row r="348" ht="12.0" customHeight="1">
      <c r="D348" s="2"/>
    </row>
    <row r="349" ht="12.0" customHeight="1">
      <c r="D349" s="2"/>
    </row>
    <row r="350" ht="12.0" customHeight="1">
      <c r="D350" s="2"/>
    </row>
    <row r="351" ht="12.0" customHeight="1">
      <c r="D351" s="2"/>
    </row>
    <row r="352" ht="12.0" customHeight="1">
      <c r="D352" s="2"/>
    </row>
    <row r="353" ht="12.0" customHeight="1">
      <c r="D353" s="2"/>
    </row>
    <row r="354" ht="12.0" customHeight="1">
      <c r="D354" s="2"/>
    </row>
    <row r="355" ht="12.0" customHeight="1">
      <c r="D355" s="2"/>
    </row>
    <row r="356" ht="12.0" customHeight="1">
      <c r="D356" s="2"/>
    </row>
    <row r="357" ht="12.0" customHeight="1">
      <c r="D357" s="2"/>
    </row>
    <row r="358" ht="12.0" customHeight="1">
      <c r="D358" s="2"/>
    </row>
    <row r="359" ht="12.0" customHeight="1">
      <c r="D359" s="2"/>
    </row>
    <row r="360" ht="12.0" customHeight="1">
      <c r="D360" s="2"/>
    </row>
    <row r="361" ht="12.0" customHeight="1">
      <c r="D361" s="2"/>
    </row>
    <row r="362" ht="12.0" customHeight="1">
      <c r="D362" s="2"/>
    </row>
    <row r="363" ht="12.0" customHeight="1">
      <c r="D363" s="2"/>
    </row>
    <row r="364" ht="12.0" customHeight="1">
      <c r="D364" s="2"/>
    </row>
    <row r="365" ht="12.0" customHeight="1">
      <c r="D365" s="2"/>
    </row>
    <row r="366" ht="12.0" customHeight="1">
      <c r="D366" s="2"/>
    </row>
    <row r="367" ht="12.0" customHeight="1">
      <c r="D367" s="2"/>
    </row>
    <row r="368" ht="12.0" customHeight="1">
      <c r="D368" s="2"/>
    </row>
    <row r="369" ht="12.0" customHeight="1">
      <c r="D369" s="2"/>
    </row>
    <row r="370" ht="12.0" customHeight="1">
      <c r="D370" s="2"/>
    </row>
    <row r="371" ht="12.0" customHeight="1">
      <c r="D371" s="2"/>
    </row>
    <row r="372" ht="12.0" customHeight="1">
      <c r="D372" s="2"/>
    </row>
    <row r="373" ht="12.0" customHeight="1">
      <c r="D373" s="2"/>
    </row>
    <row r="374" ht="12.0" customHeight="1">
      <c r="D374" s="2"/>
    </row>
    <row r="375" ht="12.0" customHeight="1">
      <c r="D375" s="2"/>
    </row>
    <row r="376" ht="12.0" customHeight="1">
      <c r="D376" s="2"/>
    </row>
    <row r="377" ht="12.0" customHeight="1">
      <c r="D377" s="2"/>
    </row>
    <row r="378" ht="12.0" customHeight="1">
      <c r="D378" s="2"/>
    </row>
    <row r="379" ht="12.0" customHeight="1">
      <c r="D379" s="2"/>
    </row>
    <row r="380" ht="12.0" customHeight="1">
      <c r="D380" s="2"/>
    </row>
    <row r="381" ht="12.0" customHeight="1">
      <c r="D381" s="2"/>
    </row>
    <row r="382" ht="12.0" customHeight="1">
      <c r="D382" s="2"/>
    </row>
    <row r="383" ht="12.0" customHeight="1">
      <c r="D383" s="2"/>
    </row>
    <row r="384" ht="12.0" customHeight="1">
      <c r="D384" s="2"/>
    </row>
    <row r="385" ht="12.0" customHeight="1">
      <c r="D385" s="2"/>
    </row>
    <row r="386" ht="12.0" customHeight="1">
      <c r="D386" s="2"/>
    </row>
    <row r="387" ht="12.0" customHeight="1">
      <c r="D387" s="2"/>
    </row>
    <row r="388" ht="12.0" customHeight="1">
      <c r="D388" s="2"/>
    </row>
    <row r="389" ht="12.0" customHeight="1">
      <c r="D389" s="2"/>
    </row>
    <row r="390" ht="12.0" customHeight="1">
      <c r="D390" s="2"/>
    </row>
    <row r="391" ht="12.0" customHeight="1">
      <c r="D391" s="2"/>
    </row>
    <row r="392" ht="12.0" customHeight="1">
      <c r="D392" s="2"/>
    </row>
    <row r="393" ht="12.0" customHeight="1">
      <c r="D393" s="2"/>
    </row>
    <row r="394" ht="12.0" customHeight="1">
      <c r="D394" s="2"/>
    </row>
    <row r="395" ht="12.0" customHeight="1">
      <c r="D395" s="2"/>
    </row>
    <row r="396" ht="12.0" customHeight="1">
      <c r="D396" s="2"/>
    </row>
    <row r="397" ht="12.0" customHeight="1">
      <c r="D397" s="2"/>
    </row>
    <row r="398" ht="12.0" customHeight="1">
      <c r="D398" s="2"/>
    </row>
    <row r="399" ht="12.0" customHeight="1">
      <c r="D399" s="2"/>
    </row>
    <row r="400" ht="12.0" customHeight="1">
      <c r="D400" s="2"/>
    </row>
    <row r="401" ht="12.0" customHeight="1">
      <c r="D401" s="2"/>
    </row>
    <row r="402" ht="12.0" customHeight="1">
      <c r="D402" s="2"/>
    </row>
    <row r="403" ht="12.0" customHeight="1">
      <c r="D403" s="2"/>
    </row>
    <row r="404" ht="12.0" customHeight="1">
      <c r="D404" s="2"/>
    </row>
    <row r="405" ht="12.0" customHeight="1">
      <c r="D405" s="2"/>
    </row>
    <row r="406" ht="12.0" customHeight="1">
      <c r="D406" s="2"/>
    </row>
    <row r="407" ht="12.0" customHeight="1">
      <c r="D407" s="2"/>
    </row>
    <row r="408" ht="12.0" customHeight="1">
      <c r="D408" s="2"/>
    </row>
    <row r="409" ht="12.0" customHeight="1">
      <c r="D409" s="2"/>
    </row>
    <row r="410" ht="12.0" customHeight="1">
      <c r="D410" s="2"/>
    </row>
    <row r="411" ht="12.0" customHeight="1">
      <c r="D411" s="2"/>
    </row>
    <row r="412" ht="12.0" customHeight="1">
      <c r="D412" s="2"/>
    </row>
    <row r="413" ht="12.0" customHeight="1">
      <c r="D413" s="2"/>
    </row>
    <row r="414" ht="12.0" customHeight="1">
      <c r="D414" s="2"/>
    </row>
    <row r="415" ht="12.0" customHeight="1">
      <c r="D415" s="2"/>
    </row>
    <row r="416" ht="12.0" customHeight="1">
      <c r="D416" s="2"/>
    </row>
    <row r="417" ht="12.0" customHeight="1">
      <c r="D417" s="2"/>
    </row>
    <row r="418" ht="12.0" customHeight="1">
      <c r="D418" s="2"/>
    </row>
    <row r="419" ht="12.0" customHeight="1">
      <c r="D419" s="2"/>
    </row>
    <row r="420" ht="12.0" customHeight="1">
      <c r="D420" s="2"/>
    </row>
    <row r="421" ht="12.0" customHeight="1">
      <c r="D421" s="2"/>
    </row>
    <row r="422" ht="12.0" customHeight="1">
      <c r="D422" s="2"/>
    </row>
    <row r="423" ht="12.0" customHeight="1">
      <c r="D423" s="2"/>
    </row>
    <row r="424" ht="12.0" customHeight="1">
      <c r="D424" s="2"/>
    </row>
    <row r="425" ht="12.0" customHeight="1">
      <c r="D425" s="2"/>
    </row>
    <row r="426" ht="12.0" customHeight="1">
      <c r="D426" s="2"/>
    </row>
    <row r="427" ht="12.0" customHeight="1">
      <c r="D427" s="2"/>
    </row>
    <row r="428" ht="12.0" customHeight="1">
      <c r="D428" s="2"/>
    </row>
    <row r="429" ht="12.0" customHeight="1">
      <c r="D429" s="2"/>
    </row>
    <row r="430" ht="12.0" customHeight="1">
      <c r="D430" s="2"/>
    </row>
    <row r="431" ht="12.0" customHeight="1">
      <c r="D431" s="2"/>
    </row>
    <row r="432" ht="12.0" customHeight="1">
      <c r="D432" s="2"/>
    </row>
    <row r="433" ht="12.0" customHeight="1">
      <c r="D433" s="2"/>
    </row>
    <row r="434" ht="12.0" customHeight="1">
      <c r="D434" s="2"/>
    </row>
    <row r="435" ht="12.0" customHeight="1">
      <c r="D435" s="2"/>
    </row>
    <row r="436" ht="12.0" customHeight="1">
      <c r="D436" s="2"/>
    </row>
    <row r="437" ht="12.0" customHeight="1">
      <c r="D437" s="2"/>
    </row>
    <row r="438" ht="12.0" customHeight="1">
      <c r="D438" s="2"/>
    </row>
    <row r="439" ht="12.0" customHeight="1">
      <c r="D439" s="2"/>
    </row>
    <row r="440" ht="12.0" customHeight="1">
      <c r="D440" s="2"/>
    </row>
    <row r="441" ht="12.0" customHeight="1">
      <c r="D441" s="2"/>
    </row>
    <row r="442" ht="12.0" customHeight="1">
      <c r="D442" s="2"/>
    </row>
    <row r="443" ht="12.0" customHeight="1">
      <c r="D443" s="2"/>
    </row>
    <row r="444" ht="12.0" customHeight="1">
      <c r="D444" s="2"/>
    </row>
    <row r="445" ht="12.0" customHeight="1">
      <c r="D445" s="2"/>
    </row>
    <row r="446" ht="12.0" customHeight="1">
      <c r="D446" s="2"/>
    </row>
    <row r="447" ht="12.0" customHeight="1">
      <c r="D447" s="2"/>
    </row>
    <row r="448" ht="12.0" customHeight="1">
      <c r="D448" s="2"/>
    </row>
    <row r="449" ht="12.0" customHeight="1">
      <c r="D449" s="2"/>
    </row>
    <row r="450" ht="12.0" customHeight="1">
      <c r="D450" s="2"/>
    </row>
    <row r="451" ht="12.0" customHeight="1">
      <c r="D451" s="2"/>
    </row>
    <row r="452" ht="12.0" customHeight="1">
      <c r="D452" s="2"/>
    </row>
    <row r="453" ht="12.0" customHeight="1">
      <c r="D453" s="2"/>
    </row>
    <row r="454" ht="12.0" customHeight="1">
      <c r="D454" s="2"/>
    </row>
    <row r="455" ht="12.0" customHeight="1">
      <c r="D455" s="2"/>
    </row>
    <row r="456" ht="12.0" customHeight="1">
      <c r="D456" s="2"/>
    </row>
    <row r="457" ht="12.0" customHeight="1">
      <c r="D457" s="2"/>
    </row>
    <row r="458" ht="12.0" customHeight="1">
      <c r="D458" s="2"/>
    </row>
    <row r="459" ht="12.0" customHeight="1">
      <c r="D459" s="2"/>
    </row>
    <row r="460" ht="12.0" customHeight="1">
      <c r="D460" s="2"/>
    </row>
    <row r="461" ht="12.0" customHeight="1">
      <c r="D461" s="2"/>
    </row>
    <row r="462" ht="12.0" customHeight="1">
      <c r="D462" s="2"/>
    </row>
    <row r="463" ht="12.0" customHeight="1">
      <c r="D463" s="2"/>
    </row>
    <row r="464" ht="12.0" customHeight="1">
      <c r="D464" s="2"/>
    </row>
    <row r="465" ht="12.0" customHeight="1">
      <c r="D465" s="2"/>
    </row>
    <row r="466" ht="12.0" customHeight="1">
      <c r="D466" s="2"/>
    </row>
    <row r="467" ht="12.0" customHeight="1">
      <c r="D467" s="2"/>
    </row>
    <row r="468" ht="12.0" customHeight="1">
      <c r="D468" s="2"/>
    </row>
    <row r="469" ht="12.0" customHeight="1">
      <c r="D469" s="2"/>
    </row>
    <row r="470" ht="12.0" customHeight="1">
      <c r="D470" s="2"/>
    </row>
    <row r="471" ht="12.0" customHeight="1">
      <c r="D471" s="2"/>
    </row>
    <row r="472" ht="12.0" customHeight="1">
      <c r="D472" s="2"/>
    </row>
    <row r="473" ht="12.0" customHeight="1">
      <c r="D473" s="2"/>
    </row>
    <row r="474" ht="12.0" customHeight="1">
      <c r="D474" s="2"/>
    </row>
    <row r="475" ht="12.0" customHeight="1">
      <c r="D475" s="2"/>
    </row>
    <row r="476" ht="12.0" customHeight="1">
      <c r="D476" s="2"/>
    </row>
    <row r="477" ht="12.0" customHeight="1">
      <c r="D477" s="2"/>
    </row>
    <row r="478" ht="12.0" customHeight="1">
      <c r="D478" s="2"/>
    </row>
    <row r="479" ht="12.0" customHeight="1">
      <c r="D479" s="2"/>
    </row>
    <row r="480" ht="12.0" customHeight="1">
      <c r="D480" s="2"/>
    </row>
    <row r="481" ht="12.0" customHeight="1">
      <c r="D481" s="2"/>
    </row>
    <row r="482" ht="12.0" customHeight="1">
      <c r="D482" s="2"/>
    </row>
    <row r="483" ht="12.0" customHeight="1">
      <c r="D483" s="2"/>
    </row>
    <row r="484" ht="12.0" customHeight="1">
      <c r="D484" s="2"/>
    </row>
    <row r="485" ht="12.0" customHeight="1">
      <c r="D485" s="2"/>
    </row>
    <row r="486" ht="12.0" customHeight="1">
      <c r="D486" s="2"/>
    </row>
    <row r="487" ht="12.0" customHeight="1">
      <c r="D487" s="2"/>
    </row>
    <row r="488" ht="12.0" customHeight="1">
      <c r="D488" s="2"/>
    </row>
    <row r="489" ht="12.0" customHeight="1">
      <c r="D489" s="2"/>
    </row>
    <row r="490" ht="12.0" customHeight="1">
      <c r="D490" s="2"/>
    </row>
    <row r="491" ht="12.0" customHeight="1">
      <c r="D491" s="2"/>
    </row>
    <row r="492" ht="12.0" customHeight="1">
      <c r="D492" s="2"/>
    </row>
    <row r="493" ht="12.0" customHeight="1">
      <c r="D493" s="2"/>
    </row>
    <row r="494" ht="12.0" customHeight="1">
      <c r="D494" s="2"/>
    </row>
    <row r="495" ht="12.0" customHeight="1">
      <c r="D495" s="2"/>
    </row>
    <row r="496" ht="12.0" customHeight="1">
      <c r="D496" s="2"/>
    </row>
    <row r="497" ht="12.0" customHeight="1">
      <c r="D497" s="2"/>
    </row>
    <row r="498" ht="12.0" customHeight="1">
      <c r="D498" s="2"/>
    </row>
    <row r="499" ht="12.0" customHeight="1">
      <c r="D499" s="2"/>
    </row>
    <row r="500" ht="12.0" customHeight="1">
      <c r="D500" s="2"/>
    </row>
    <row r="501" ht="12.0" customHeight="1">
      <c r="D501" s="2"/>
    </row>
    <row r="502" ht="12.0" customHeight="1">
      <c r="D502" s="2"/>
    </row>
    <row r="503" ht="12.0" customHeight="1">
      <c r="D503" s="2"/>
    </row>
    <row r="504" ht="12.0" customHeight="1">
      <c r="D504" s="2"/>
    </row>
    <row r="505" ht="12.0" customHeight="1">
      <c r="D505" s="2"/>
    </row>
    <row r="506" ht="12.0" customHeight="1">
      <c r="D506" s="2"/>
    </row>
    <row r="507" ht="12.0" customHeight="1">
      <c r="D507" s="2"/>
    </row>
    <row r="508" ht="12.0" customHeight="1">
      <c r="D508" s="2"/>
    </row>
    <row r="509" ht="12.0" customHeight="1">
      <c r="D509" s="2"/>
    </row>
    <row r="510" ht="12.0" customHeight="1">
      <c r="D510" s="2"/>
    </row>
    <row r="511" ht="12.0" customHeight="1">
      <c r="D511" s="2"/>
    </row>
    <row r="512" ht="12.0" customHeight="1">
      <c r="D512" s="2"/>
    </row>
    <row r="513" ht="12.0" customHeight="1">
      <c r="D513" s="2"/>
    </row>
    <row r="514" ht="12.0" customHeight="1">
      <c r="D514" s="2"/>
    </row>
    <row r="515" ht="12.0" customHeight="1">
      <c r="D515" s="2"/>
    </row>
    <row r="516" ht="12.0" customHeight="1">
      <c r="D516" s="2"/>
    </row>
    <row r="517" ht="12.0" customHeight="1">
      <c r="D517" s="2"/>
    </row>
    <row r="518" ht="12.0" customHeight="1">
      <c r="D518" s="2"/>
    </row>
    <row r="519" ht="12.0" customHeight="1">
      <c r="D519" s="2"/>
    </row>
    <row r="520" ht="12.0" customHeight="1">
      <c r="D520" s="2"/>
    </row>
    <row r="521" ht="12.0" customHeight="1">
      <c r="D521" s="2"/>
    </row>
    <row r="522" ht="12.0" customHeight="1">
      <c r="D522" s="2"/>
    </row>
    <row r="523" ht="12.0" customHeight="1">
      <c r="D523" s="2"/>
    </row>
    <row r="524" ht="12.0" customHeight="1">
      <c r="D524" s="2"/>
    </row>
    <row r="525" ht="12.0" customHeight="1">
      <c r="D525" s="2"/>
    </row>
    <row r="526" ht="12.0" customHeight="1">
      <c r="D526" s="2"/>
    </row>
    <row r="527" ht="12.0" customHeight="1">
      <c r="D527" s="2"/>
    </row>
    <row r="528" ht="12.0" customHeight="1">
      <c r="D528" s="2"/>
    </row>
    <row r="529" ht="12.0" customHeight="1">
      <c r="D529" s="2"/>
    </row>
    <row r="530" ht="12.0" customHeight="1">
      <c r="D530" s="2"/>
    </row>
    <row r="531" ht="12.0" customHeight="1">
      <c r="D531" s="2"/>
    </row>
    <row r="532" ht="12.0" customHeight="1">
      <c r="D532" s="2"/>
    </row>
    <row r="533" ht="12.0" customHeight="1">
      <c r="D533" s="2"/>
    </row>
    <row r="534" ht="12.0" customHeight="1">
      <c r="D534" s="2"/>
    </row>
    <row r="535" ht="12.0" customHeight="1">
      <c r="D535" s="2"/>
    </row>
    <row r="536" ht="12.0" customHeight="1">
      <c r="D536" s="2"/>
    </row>
    <row r="537" ht="12.0" customHeight="1">
      <c r="D537" s="2"/>
    </row>
    <row r="538" ht="12.0" customHeight="1">
      <c r="D538" s="2"/>
    </row>
    <row r="539" ht="12.0" customHeight="1">
      <c r="D539" s="2"/>
    </row>
    <row r="540" ht="12.0" customHeight="1">
      <c r="D540" s="2"/>
    </row>
    <row r="541" ht="12.0" customHeight="1">
      <c r="D541" s="2"/>
    </row>
    <row r="542" ht="12.0" customHeight="1">
      <c r="D542" s="2"/>
    </row>
    <row r="543" ht="12.0" customHeight="1">
      <c r="D543" s="2"/>
    </row>
    <row r="544" ht="12.0" customHeight="1">
      <c r="D544" s="2"/>
    </row>
    <row r="545" ht="12.0" customHeight="1">
      <c r="D545" s="2"/>
    </row>
    <row r="546" ht="12.0" customHeight="1">
      <c r="D546" s="2"/>
    </row>
    <row r="547" ht="12.0" customHeight="1">
      <c r="D547" s="2"/>
    </row>
    <row r="548" ht="12.0" customHeight="1">
      <c r="D548" s="2"/>
    </row>
    <row r="549" ht="12.0" customHeight="1">
      <c r="D549" s="2"/>
    </row>
    <row r="550" ht="12.0" customHeight="1">
      <c r="D550" s="2"/>
    </row>
    <row r="551" ht="12.0" customHeight="1">
      <c r="D551" s="2"/>
    </row>
    <row r="552" ht="12.0" customHeight="1">
      <c r="D552" s="2"/>
    </row>
    <row r="553" ht="12.0" customHeight="1">
      <c r="D553" s="2"/>
    </row>
    <row r="554" ht="12.0" customHeight="1">
      <c r="D554" s="2"/>
    </row>
    <row r="555" ht="12.0" customHeight="1">
      <c r="D555" s="2"/>
    </row>
    <row r="556" ht="12.0" customHeight="1">
      <c r="D556" s="2"/>
    </row>
    <row r="557" ht="12.0" customHeight="1">
      <c r="D557" s="2"/>
    </row>
    <row r="558" ht="12.0" customHeight="1">
      <c r="D558" s="2"/>
    </row>
    <row r="559" ht="12.0" customHeight="1">
      <c r="D559" s="2"/>
    </row>
    <row r="560" ht="12.0" customHeight="1">
      <c r="D560" s="2"/>
    </row>
    <row r="561" ht="12.0" customHeight="1">
      <c r="D561" s="2"/>
    </row>
    <row r="562" ht="12.0" customHeight="1">
      <c r="D562" s="2"/>
    </row>
    <row r="563" ht="12.0" customHeight="1">
      <c r="D563" s="2"/>
    </row>
    <row r="564" ht="12.0" customHeight="1">
      <c r="D564" s="2"/>
    </row>
    <row r="565" ht="12.0" customHeight="1">
      <c r="D565" s="2"/>
    </row>
    <row r="566" ht="12.0" customHeight="1">
      <c r="D566" s="2"/>
    </row>
    <row r="567" ht="12.0" customHeight="1">
      <c r="D567" s="2"/>
    </row>
    <row r="568" ht="12.0" customHeight="1">
      <c r="D568" s="2"/>
    </row>
    <row r="569" ht="12.0" customHeight="1">
      <c r="D569" s="2"/>
    </row>
    <row r="570" ht="12.0" customHeight="1">
      <c r="D570" s="2"/>
    </row>
    <row r="571" ht="12.0" customHeight="1">
      <c r="D571" s="2"/>
    </row>
    <row r="572" ht="12.0" customHeight="1">
      <c r="D572" s="2"/>
    </row>
    <row r="573" ht="12.0" customHeight="1">
      <c r="D573" s="2"/>
    </row>
    <row r="574" ht="12.0" customHeight="1">
      <c r="D574" s="2"/>
    </row>
    <row r="575" ht="12.0" customHeight="1">
      <c r="D575" s="2"/>
    </row>
    <row r="576" ht="12.0" customHeight="1">
      <c r="D576" s="2"/>
    </row>
    <row r="577" ht="12.0" customHeight="1">
      <c r="D577" s="2"/>
    </row>
    <row r="578" ht="12.0" customHeight="1">
      <c r="D578" s="2"/>
    </row>
    <row r="579" ht="12.0" customHeight="1">
      <c r="D579" s="2"/>
    </row>
    <row r="580" ht="12.0" customHeight="1">
      <c r="D580" s="2"/>
    </row>
    <row r="581" ht="12.0" customHeight="1">
      <c r="D581" s="2"/>
    </row>
    <row r="582" ht="12.0" customHeight="1">
      <c r="D582" s="2"/>
    </row>
    <row r="583" ht="12.0" customHeight="1">
      <c r="D583" s="2"/>
    </row>
    <row r="584" ht="12.0" customHeight="1">
      <c r="D584" s="2"/>
    </row>
    <row r="585" ht="12.0" customHeight="1">
      <c r="D585" s="2"/>
    </row>
    <row r="586" ht="12.0" customHeight="1">
      <c r="D586" s="2"/>
    </row>
    <row r="587" ht="12.0" customHeight="1">
      <c r="D587" s="2"/>
    </row>
    <row r="588" ht="12.0" customHeight="1">
      <c r="D588" s="2"/>
    </row>
    <row r="589" ht="12.0" customHeight="1">
      <c r="D589" s="2"/>
    </row>
    <row r="590" ht="12.0" customHeight="1">
      <c r="D590" s="2"/>
    </row>
    <row r="591" ht="12.0" customHeight="1">
      <c r="D591" s="2"/>
    </row>
    <row r="592" ht="12.0" customHeight="1">
      <c r="D592" s="2"/>
    </row>
    <row r="593" ht="12.0" customHeight="1">
      <c r="D593" s="2"/>
    </row>
    <row r="594" ht="12.0" customHeight="1">
      <c r="D594" s="2"/>
    </row>
    <row r="595" ht="12.0" customHeight="1">
      <c r="D595" s="2"/>
    </row>
    <row r="596" ht="12.0" customHeight="1">
      <c r="D596" s="2"/>
    </row>
    <row r="597" ht="12.0" customHeight="1">
      <c r="D597" s="2"/>
    </row>
    <row r="598" ht="12.0" customHeight="1">
      <c r="D598" s="2"/>
    </row>
    <row r="599" ht="12.0" customHeight="1">
      <c r="D599" s="2"/>
    </row>
    <row r="600" ht="12.0" customHeight="1">
      <c r="D600" s="2"/>
    </row>
    <row r="601" ht="12.0" customHeight="1">
      <c r="D601" s="2"/>
    </row>
    <row r="602" ht="12.0" customHeight="1">
      <c r="D602" s="2"/>
    </row>
    <row r="603" ht="12.0" customHeight="1">
      <c r="D603" s="2"/>
    </row>
    <row r="604" ht="12.0" customHeight="1">
      <c r="D604" s="2"/>
    </row>
    <row r="605" ht="12.0" customHeight="1">
      <c r="D605" s="2"/>
    </row>
    <row r="606" ht="12.0" customHeight="1">
      <c r="D606" s="2"/>
    </row>
    <row r="607" ht="12.0" customHeight="1">
      <c r="D607" s="2"/>
    </row>
    <row r="608" ht="12.0" customHeight="1">
      <c r="D608" s="2"/>
    </row>
    <row r="609" ht="12.0" customHeight="1">
      <c r="D609" s="2"/>
    </row>
    <row r="610" ht="12.0" customHeight="1">
      <c r="D610" s="2"/>
    </row>
    <row r="611" ht="12.0" customHeight="1">
      <c r="D611" s="2"/>
    </row>
    <row r="612" ht="12.0" customHeight="1">
      <c r="D612" s="2"/>
    </row>
    <row r="613" ht="12.0" customHeight="1">
      <c r="D613" s="2"/>
    </row>
    <row r="614" ht="12.0" customHeight="1">
      <c r="D614" s="2"/>
    </row>
    <row r="615" ht="12.0" customHeight="1">
      <c r="D615" s="2"/>
    </row>
    <row r="616" ht="12.0" customHeight="1">
      <c r="D616" s="2"/>
    </row>
    <row r="617" ht="12.0" customHeight="1">
      <c r="D617" s="2"/>
    </row>
    <row r="618" ht="12.0" customHeight="1">
      <c r="D618" s="2"/>
    </row>
    <row r="619" ht="12.0" customHeight="1">
      <c r="D619" s="2"/>
    </row>
    <row r="620" ht="12.0" customHeight="1">
      <c r="D620" s="2"/>
    </row>
    <row r="621" ht="12.0" customHeight="1">
      <c r="D621" s="2"/>
    </row>
    <row r="622" ht="12.0" customHeight="1">
      <c r="D622" s="2"/>
    </row>
    <row r="623" ht="12.0" customHeight="1">
      <c r="D623" s="2"/>
    </row>
    <row r="624" ht="12.0" customHeight="1">
      <c r="D624" s="2"/>
    </row>
    <row r="625" ht="12.0" customHeight="1">
      <c r="D625" s="2"/>
    </row>
    <row r="626" ht="12.0" customHeight="1">
      <c r="D626" s="2"/>
    </row>
    <row r="627" ht="12.0" customHeight="1">
      <c r="D627" s="2"/>
    </row>
    <row r="628" ht="12.0" customHeight="1">
      <c r="D628" s="2"/>
    </row>
    <row r="629" ht="12.0" customHeight="1">
      <c r="D629" s="2"/>
    </row>
    <row r="630" ht="12.0" customHeight="1">
      <c r="D630" s="2"/>
    </row>
    <row r="631" ht="12.0" customHeight="1">
      <c r="D631" s="2"/>
    </row>
    <row r="632" ht="12.0" customHeight="1">
      <c r="D632" s="2"/>
    </row>
    <row r="633" ht="12.0" customHeight="1">
      <c r="D633" s="2"/>
    </row>
    <row r="634" ht="12.0" customHeight="1">
      <c r="D634" s="2"/>
    </row>
    <row r="635" ht="12.0" customHeight="1">
      <c r="D635" s="2"/>
    </row>
    <row r="636" ht="12.0" customHeight="1">
      <c r="D636" s="2"/>
    </row>
    <row r="637" ht="12.0" customHeight="1">
      <c r="D637" s="2"/>
    </row>
    <row r="638" ht="12.0" customHeight="1">
      <c r="D638" s="2"/>
    </row>
    <row r="639" ht="12.0" customHeight="1">
      <c r="D639" s="2"/>
    </row>
    <row r="640" ht="12.0" customHeight="1">
      <c r="D640" s="2"/>
    </row>
    <row r="641" ht="12.0" customHeight="1">
      <c r="D641" s="2"/>
    </row>
    <row r="642" ht="12.0" customHeight="1">
      <c r="D642" s="2"/>
    </row>
    <row r="643" ht="12.0" customHeight="1">
      <c r="D643" s="2"/>
    </row>
    <row r="644" ht="12.0" customHeight="1">
      <c r="D644" s="2"/>
    </row>
    <row r="645" ht="12.0" customHeight="1">
      <c r="D645" s="2"/>
    </row>
    <row r="646" ht="12.0" customHeight="1">
      <c r="D646" s="2"/>
    </row>
    <row r="647" ht="12.0" customHeight="1">
      <c r="D647" s="2"/>
    </row>
    <row r="648" ht="12.0" customHeight="1">
      <c r="D648" s="2"/>
    </row>
    <row r="649" ht="12.0" customHeight="1">
      <c r="D649" s="2"/>
    </row>
    <row r="650" ht="12.0" customHeight="1">
      <c r="D650" s="2"/>
    </row>
    <row r="651" ht="12.0" customHeight="1">
      <c r="D651" s="2"/>
    </row>
    <row r="652" ht="12.0" customHeight="1">
      <c r="D652" s="2"/>
    </row>
    <row r="653" ht="12.0" customHeight="1">
      <c r="D653" s="2"/>
    </row>
    <row r="654" ht="12.0" customHeight="1">
      <c r="D654" s="2"/>
    </row>
    <row r="655" ht="12.0" customHeight="1">
      <c r="D655" s="2"/>
    </row>
    <row r="656" ht="12.0" customHeight="1">
      <c r="D656" s="2"/>
    </row>
    <row r="657" ht="12.0" customHeight="1">
      <c r="D657" s="2"/>
    </row>
    <row r="658" ht="12.0" customHeight="1">
      <c r="D658" s="2"/>
    </row>
    <row r="659" ht="12.0" customHeight="1">
      <c r="D659" s="2"/>
    </row>
    <row r="660" ht="12.0" customHeight="1">
      <c r="D660" s="2"/>
    </row>
    <row r="661" ht="12.0" customHeight="1">
      <c r="D661" s="2"/>
    </row>
    <row r="662" ht="12.0" customHeight="1">
      <c r="D662" s="2"/>
    </row>
    <row r="663" ht="12.0" customHeight="1">
      <c r="D663" s="2"/>
    </row>
    <row r="664" ht="12.0" customHeight="1">
      <c r="D664" s="2"/>
    </row>
    <row r="665" ht="12.0" customHeight="1">
      <c r="D665" s="2"/>
    </row>
    <row r="666" ht="12.0" customHeight="1">
      <c r="D666" s="2"/>
    </row>
    <row r="667" ht="12.0" customHeight="1">
      <c r="D667" s="2"/>
    </row>
    <row r="668" ht="12.0" customHeight="1">
      <c r="D668" s="2"/>
    </row>
    <row r="669" ht="12.0" customHeight="1">
      <c r="D669" s="2"/>
    </row>
    <row r="670" ht="12.0" customHeight="1">
      <c r="D670" s="2"/>
    </row>
    <row r="671" ht="12.0" customHeight="1">
      <c r="D671" s="2"/>
    </row>
    <row r="672" ht="12.0" customHeight="1">
      <c r="D672" s="2"/>
    </row>
    <row r="673" ht="12.0" customHeight="1">
      <c r="D673" s="2"/>
    </row>
    <row r="674" ht="12.0" customHeight="1">
      <c r="D674" s="2"/>
    </row>
    <row r="675" ht="12.0" customHeight="1">
      <c r="D675" s="2"/>
    </row>
    <row r="676" ht="12.0" customHeight="1">
      <c r="D676" s="2"/>
    </row>
    <row r="677" ht="12.0" customHeight="1">
      <c r="D677" s="2"/>
    </row>
    <row r="678" ht="12.0" customHeight="1">
      <c r="D678" s="2"/>
    </row>
    <row r="679" ht="12.0" customHeight="1">
      <c r="D679" s="2"/>
    </row>
    <row r="680" ht="12.0" customHeight="1">
      <c r="D680" s="2"/>
    </row>
    <row r="681" ht="12.0" customHeight="1">
      <c r="D681" s="2"/>
    </row>
    <row r="682" ht="12.0" customHeight="1">
      <c r="D682" s="2"/>
    </row>
    <row r="683" ht="12.0" customHeight="1">
      <c r="D683" s="2"/>
    </row>
    <row r="684" ht="12.0" customHeight="1">
      <c r="D684" s="2"/>
    </row>
    <row r="685" ht="12.0" customHeight="1">
      <c r="D685" s="2"/>
    </row>
    <row r="686" ht="12.0" customHeight="1">
      <c r="D686" s="2"/>
    </row>
    <row r="687" ht="12.0" customHeight="1">
      <c r="D687" s="2"/>
    </row>
    <row r="688" ht="12.0" customHeight="1">
      <c r="D688" s="2"/>
    </row>
    <row r="689" ht="12.0" customHeight="1">
      <c r="D689" s="2"/>
    </row>
    <row r="690" ht="12.0" customHeight="1">
      <c r="D690" s="2"/>
    </row>
    <row r="691" ht="12.0" customHeight="1">
      <c r="D691" s="2"/>
    </row>
    <row r="692" ht="12.0" customHeight="1">
      <c r="D692" s="2"/>
    </row>
    <row r="693" ht="12.0" customHeight="1">
      <c r="D693" s="2"/>
    </row>
    <row r="694" ht="12.0" customHeight="1">
      <c r="D694" s="2"/>
    </row>
    <row r="695" ht="12.0" customHeight="1">
      <c r="D695" s="2"/>
    </row>
    <row r="696" ht="12.0" customHeight="1">
      <c r="D696" s="2"/>
    </row>
    <row r="697" ht="12.0" customHeight="1">
      <c r="D697" s="2"/>
    </row>
    <row r="698" ht="12.0" customHeight="1">
      <c r="D698" s="2"/>
    </row>
    <row r="699" ht="12.0" customHeight="1">
      <c r="D699" s="2"/>
    </row>
    <row r="700" ht="12.0" customHeight="1">
      <c r="D700" s="2"/>
    </row>
    <row r="701" ht="12.0" customHeight="1">
      <c r="D701" s="2"/>
    </row>
    <row r="702" ht="12.0" customHeight="1">
      <c r="D702" s="2"/>
    </row>
    <row r="703" ht="12.0" customHeight="1">
      <c r="D703" s="2"/>
    </row>
    <row r="704" ht="12.0" customHeight="1">
      <c r="D704" s="2"/>
    </row>
    <row r="705" ht="12.0" customHeight="1">
      <c r="D705" s="2"/>
    </row>
    <row r="706" ht="12.0" customHeight="1">
      <c r="D706" s="2"/>
    </row>
    <row r="707" ht="12.0" customHeight="1">
      <c r="D707" s="2"/>
    </row>
    <row r="708" ht="12.0" customHeight="1">
      <c r="D708" s="2"/>
    </row>
    <row r="709" ht="12.0" customHeight="1">
      <c r="D709" s="2"/>
    </row>
    <row r="710" ht="12.0" customHeight="1">
      <c r="D710" s="2"/>
    </row>
    <row r="711" ht="12.0" customHeight="1">
      <c r="D711" s="2"/>
    </row>
    <row r="712" ht="12.0" customHeight="1">
      <c r="D712" s="2"/>
    </row>
    <row r="713" ht="12.0" customHeight="1">
      <c r="D713" s="2"/>
    </row>
    <row r="714" ht="12.0" customHeight="1">
      <c r="D714" s="2"/>
    </row>
    <row r="715" ht="12.0" customHeight="1">
      <c r="D715" s="2"/>
    </row>
    <row r="716" ht="12.0" customHeight="1">
      <c r="D716" s="2"/>
    </row>
    <row r="717" ht="12.0" customHeight="1">
      <c r="D717" s="2"/>
    </row>
    <row r="718" ht="12.0" customHeight="1">
      <c r="D718" s="2"/>
    </row>
    <row r="719" ht="12.0" customHeight="1">
      <c r="D719" s="2"/>
    </row>
    <row r="720" ht="12.0" customHeight="1">
      <c r="D720" s="2"/>
    </row>
    <row r="721" ht="12.0" customHeight="1">
      <c r="D721" s="2"/>
    </row>
    <row r="722" ht="12.0" customHeight="1">
      <c r="D722" s="2"/>
    </row>
    <row r="723" ht="12.0" customHeight="1">
      <c r="D723" s="2"/>
    </row>
    <row r="724" ht="12.0" customHeight="1">
      <c r="D724" s="2"/>
    </row>
    <row r="725" ht="12.0" customHeight="1">
      <c r="D725" s="2"/>
    </row>
    <row r="726" ht="12.0" customHeight="1">
      <c r="D726" s="2"/>
    </row>
    <row r="727" ht="12.0" customHeight="1">
      <c r="D727" s="2"/>
    </row>
    <row r="728" ht="12.0" customHeight="1">
      <c r="D728" s="2"/>
    </row>
    <row r="729" ht="12.0" customHeight="1">
      <c r="D729" s="2"/>
    </row>
    <row r="730" ht="12.0" customHeight="1">
      <c r="D730" s="2"/>
    </row>
    <row r="731" ht="12.0" customHeight="1">
      <c r="D731" s="2"/>
    </row>
    <row r="732" ht="12.0" customHeight="1">
      <c r="D732" s="2"/>
    </row>
    <row r="733" ht="12.0" customHeight="1">
      <c r="D733" s="2"/>
    </row>
    <row r="734" ht="12.0" customHeight="1">
      <c r="D734" s="2"/>
    </row>
    <row r="735" ht="12.0" customHeight="1">
      <c r="D735" s="2"/>
    </row>
    <row r="736" ht="12.0" customHeight="1">
      <c r="D736" s="2"/>
    </row>
    <row r="737" ht="12.0" customHeight="1">
      <c r="D737" s="2"/>
    </row>
    <row r="738" ht="12.0" customHeight="1">
      <c r="D738" s="2"/>
    </row>
    <row r="739" ht="12.0" customHeight="1">
      <c r="D739" s="2"/>
    </row>
    <row r="740" ht="12.0" customHeight="1">
      <c r="D740" s="2"/>
    </row>
    <row r="741" ht="12.0" customHeight="1">
      <c r="D741" s="2"/>
    </row>
    <row r="742" ht="12.0" customHeight="1">
      <c r="D742" s="2"/>
    </row>
    <row r="743" ht="12.0" customHeight="1">
      <c r="D743" s="2"/>
    </row>
    <row r="744" ht="12.0" customHeight="1">
      <c r="D744" s="2"/>
    </row>
    <row r="745" ht="12.0" customHeight="1">
      <c r="D745" s="2"/>
    </row>
    <row r="746" ht="12.0" customHeight="1">
      <c r="D746" s="2"/>
    </row>
    <row r="747" ht="12.0" customHeight="1">
      <c r="D747" s="2"/>
    </row>
    <row r="748" ht="12.0" customHeight="1">
      <c r="D748" s="2"/>
    </row>
    <row r="749" ht="12.0" customHeight="1">
      <c r="D749" s="2"/>
    </row>
    <row r="750" ht="12.0" customHeight="1">
      <c r="D750" s="2"/>
    </row>
    <row r="751" ht="12.0" customHeight="1">
      <c r="D751" s="2"/>
    </row>
    <row r="752" ht="12.0" customHeight="1">
      <c r="D752" s="2"/>
    </row>
    <row r="753" ht="12.0" customHeight="1">
      <c r="D753" s="2"/>
    </row>
    <row r="754" ht="12.0" customHeight="1">
      <c r="D754" s="2"/>
    </row>
    <row r="755" ht="12.0" customHeight="1">
      <c r="D755" s="2"/>
    </row>
    <row r="756" ht="12.0" customHeight="1">
      <c r="D756" s="2"/>
    </row>
    <row r="757" ht="12.0" customHeight="1">
      <c r="D757" s="2"/>
    </row>
    <row r="758" ht="12.0" customHeight="1">
      <c r="D758" s="2"/>
    </row>
    <row r="759" ht="12.0" customHeight="1">
      <c r="D759" s="2"/>
    </row>
    <row r="760" ht="12.0" customHeight="1">
      <c r="D760" s="2"/>
    </row>
    <row r="761" ht="12.0" customHeight="1">
      <c r="D761" s="2"/>
    </row>
    <row r="762" ht="12.0" customHeight="1">
      <c r="D762" s="2"/>
    </row>
    <row r="763" ht="12.0" customHeight="1">
      <c r="D763" s="2"/>
    </row>
    <row r="764" ht="12.0" customHeight="1">
      <c r="D764" s="2"/>
    </row>
    <row r="765" ht="12.0" customHeight="1">
      <c r="D765" s="2"/>
    </row>
    <row r="766" ht="12.0" customHeight="1">
      <c r="D766" s="2"/>
    </row>
    <row r="767" ht="12.0" customHeight="1">
      <c r="D767" s="2"/>
    </row>
    <row r="768" ht="12.0" customHeight="1">
      <c r="D768" s="2"/>
    </row>
    <row r="769" ht="12.0" customHeight="1">
      <c r="D769" s="2"/>
    </row>
    <row r="770" ht="12.0" customHeight="1">
      <c r="D770" s="2"/>
    </row>
    <row r="771" ht="12.0" customHeight="1">
      <c r="D771" s="2"/>
    </row>
    <row r="772" ht="12.0" customHeight="1">
      <c r="D772" s="2"/>
    </row>
    <row r="773" ht="12.0" customHeight="1">
      <c r="D773" s="2"/>
    </row>
    <row r="774" ht="12.0" customHeight="1">
      <c r="D774" s="2"/>
    </row>
    <row r="775" ht="12.0" customHeight="1">
      <c r="D775" s="2"/>
    </row>
    <row r="776" ht="12.0" customHeight="1">
      <c r="D776" s="2"/>
    </row>
    <row r="777" ht="12.0" customHeight="1">
      <c r="D777" s="2"/>
    </row>
    <row r="778" ht="12.0" customHeight="1">
      <c r="D778" s="2"/>
    </row>
    <row r="779" ht="12.0" customHeight="1">
      <c r="D779" s="2"/>
    </row>
    <row r="780" ht="12.0" customHeight="1">
      <c r="D780" s="2"/>
    </row>
    <row r="781" ht="12.0" customHeight="1">
      <c r="D781" s="2"/>
    </row>
    <row r="782" ht="12.0" customHeight="1">
      <c r="D782" s="2"/>
    </row>
    <row r="783" ht="12.0" customHeight="1">
      <c r="D783" s="2"/>
    </row>
    <row r="784" ht="12.0" customHeight="1">
      <c r="D784" s="2"/>
    </row>
    <row r="785" ht="12.0" customHeight="1">
      <c r="D785" s="2"/>
    </row>
    <row r="786" ht="12.0" customHeight="1">
      <c r="D786" s="2"/>
    </row>
    <row r="787" ht="12.0" customHeight="1">
      <c r="D787" s="2"/>
    </row>
    <row r="788" ht="12.0" customHeight="1">
      <c r="D788" s="2"/>
    </row>
    <row r="789" ht="12.0" customHeight="1">
      <c r="D789" s="2"/>
    </row>
    <row r="790" ht="12.0" customHeight="1">
      <c r="D790" s="2"/>
    </row>
    <row r="791" ht="12.0" customHeight="1">
      <c r="D791" s="2"/>
    </row>
    <row r="792" ht="12.0" customHeight="1">
      <c r="D792" s="2"/>
    </row>
    <row r="793" ht="12.0" customHeight="1">
      <c r="D793" s="2"/>
    </row>
    <row r="794" ht="12.0" customHeight="1">
      <c r="D794" s="2"/>
    </row>
    <row r="795" ht="12.0" customHeight="1">
      <c r="D795" s="2"/>
    </row>
    <row r="796" ht="12.0" customHeight="1">
      <c r="D796" s="2"/>
    </row>
    <row r="797" ht="12.0" customHeight="1">
      <c r="D797" s="2"/>
    </row>
    <row r="798" ht="12.0" customHeight="1">
      <c r="D798" s="2"/>
    </row>
    <row r="799" ht="12.0" customHeight="1">
      <c r="D799" s="2"/>
    </row>
    <row r="800" ht="12.0" customHeight="1">
      <c r="D800" s="2"/>
    </row>
    <row r="801" ht="12.0" customHeight="1">
      <c r="D801" s="2"/>
    </row>
    <row r="802" ht="12.0" customHeight="1">
      <c r="D802" s="2"/>
    </row>
    <row r="803" ht="12.0" customHeight="1">
      <c r="D803" s="2"/>
    </row>
    <row r="804" ht="12.0" customHeight="1">
      <c r="D804" s="2"/>
    </row>
    <row r="805" ht="12.0" customHeight="1">
      <c r="D805" s="2"/>
    </row>
    <row r="806" ht="12.0" customHeight="1">
      <c r="D806" s="2"/>
    </row>
    <row r="807" ht="12.0" customHeight="1">
      <c r="D807" s="2"/>
    </row>
    <row r="808" ht="12.0" customHeight="1">
      <c r="D808" s="2"/>
    </row>
    <row r="809" ht="12.0" customHeight="1">
      <c r="D809" s="2"/>
    </row>
    <row r="810" ht="12.0" customHeight="1">
      <c r="D810" s="2"/>
    </row>
    <row r="811" ht="12.0" customHeight="1">
      <c r="D811" s="2"/>
    </row>
    <row r="812" ht="12.0" customHeight="1">
      <c r="D812" s="2"/>
    </row>
    <row r="813" ht="12.0" customHeight="1">
      <c r="D813" s="2"/>
    </row>
    <row r="814" ht="12.0" customHeight="1">
      <c r="D814" s="2"/>
    </row>
    <row r="815" ht="12.0" customHeight="1">
      <c r="D815" s="2"/>
    </row>
    <row r="816" ht="12.0" customHeight="1">
      <c r="D816" s="2"/>
    </row>
    <row r="817" ht="12.0" customHeight="1">
      <c r="D817" s="2"/>
    </row>
    <row r="818" ht="12.0" customHeight="1">
      <c r="D818" s="2"/>
    </row>
    <row r="819" ht="12.0" customHeight="1">
      <c r="D819" s="2"/>
    </row>
    <row r="820" ht="12.0" customHeight="1">
      <c r="D820" s="2"/>
    </row>
    <row r="821" ht="12.0" customHeight="1">
      <c r="D821" s="2"/>
    </row>
    <row r="822" ht="12.0" customHeight="1">
      <c r="D822" s="2"/>
    </row>
    <row r="823" ht="12.0" customHeight="1">
      <c r="D823" s="2"/>
    </row>
    <row r="824" ht="12.0" customHeight="1">
      <c r="D824" s="2"/>
    </row>
    <row r="825" ht="12.0" customHeight="1">
      <c r="D825" s="2"/>
    </row>
    <row r="826" ht="12.0" customHeight="1">
      <c r="D826" s="2"/>
    </row>
    <row r="827" ht="12.0" customHeight="1">
      <c r="D827" s="2"/>
    </row>
    <row r="828" ht="12.0" customHeight="1">
      <c r="D828" s="2"/>
    </row>
    <row r="829" ht="12.0" customHeight="1">
      <c r="D829" s="2"/>
    </row>
    <row r="830" ht="12.0" customHeight="1">
      <c r="D830" s="2"/>
    </row>
    <row r="831" ht="12.0" customHeight="1">
      <c r="D831" s="2"/>
    </row>
    <row r="832" ht="12.0" customHeight="1">
      <c r="D832" s="2"/>
    </row>
    <row r="833" ht="12.0" customHeight="1">
      <c r="D833" s="2"/>
    </row>
    <row r="834" ht="12.0" customHeight="1">
      <c r="D834" s="2"/>
    </row>
    <row r="835" ht="12.0" customHeight="1">
      <c r="D835" s="2"/>
    </row>
    <row r="836" ht="12.0" customHeight="1">
      <c r="D836" s="2"/>
    </row>
    <row r="837" ht="12.0" customHeight="1">
      <c r="D837" s="2"/>
    </row>
    <row r="838" ht="12.0" customHeight="1">
      <c r="D838" s="2"/>
    </row>
    <row r="839" ht="12.0" customHeight="1">
      <c r="D839" s="2"/>
    </row>
    <row r="840" ht="12.0" customHeight="1">
      <c r="D840" s="2"/>
    </row>
    <row r="841" ht="12.0" customHeight="1">
      <c r="D841" s="2"/>
    </row>
    <row r="842" ht="12.0" customHeight="1">
      <c r="D842" s="2"/>
    </row>
    <row r="843" ht="12.0" customHeight="1">
      <c r="D843" s="2"/>
    </row>
    <row r="844" ht="12.0" customHeight="1">
      <c r="D844" s="2"/>
    </row>
    <row r="845" ht="12.0" customHeight="1">
      <c r="D845" s="2"/>
    </row>
    <row r="846" ht="12.0" customHeight="1">
      <c r="D846" s="2"/>
    </row>
    <row r="847" ht="12.0" customHeight="1">
      <c r="D847" s="2"/>
    </row>
    <row r="848" ht="12.0" customHeight="1">
      <c r="D848" s="2"/>
    </row>
    <row r="849" ht="12.0" customHeight="1">
      <c r="D849" s="2"/>
    </row>
    <row r="850" ht="12.0" customHeight="1">
      <c r="D850" s="2"/>
    </row>
    <row r="851" ht="12.0" customHeight="1">
      <c r="D851" s="2"/>
    </row>
    <row r="852" ht="12.0" customHeight="1">
      <c r="D852" s="2"/>
    </row>
    <row r="853" ht="12.0" customHeight="1">
      <c r="D853" s="2"/>
    </row>
    <row r="854" ht="12.0" customHeight="1">
      <c r="D854" s="2"/>
    </row>
    <row r="855" ht="12.0" customHeight="1">
      <c r="D855" s="2"/>
    </row>
    <row r="856" ht="12.0" customHeight="1">
      <c r="D856" s="2"/>
    </row>
    <row r="857" ht="12.0" customHeight="1">
      <c r="D857" s="2"/>
    </row>
    <row r="858" ht="12.0" customHeight="1">
      <c r="D858" s="2"/>
    </row>
    <row r="859" ht="12.0" customHeight="1">
      <c r="D859" s="2"/>
    </row>
    <row r="860" ht="12.0" customHeight="1">
      <c r="D860" s="2"/>
    </row>
    <row r="861" ht="12.0" customHeight="1">
      <c r="D861" s="2"/>
    </row>
    <row r="862" ht="12.0" customHeight="1">
      <c r="D862" s="2"/>
    </row>
    <row r="863" ht="12.0" customHeight="1">
      <c r="D863" s="2"/>
    </row>
    <row r="864" ht="12.0" customHeight="1">
      <c r="D864" s="2"/>
    </row>
    <row r="865" ht="12.0" customHeight="1">
      <c r="D865" s="2"/>
    </row>
    <row r="866" ht="12.0" customHeight="1">
      <c r="D866" s="2"/>
    </row>
    <row r="867" ht="12.0" customHeight="1">
      <c r="D867" s="2"/>
    </row>
    <row r="868" ht="12.0" customHeight="1">
      <c r="D868" s="2"/>
    </row>
    <row r="869" ht="12.0" customHeight="1">
      <c r="D869" s="2"/>
    </row>
    <row r="870" ht="12.0" customHeight="1">
      <c r="D870" s="2"/>
    </row>
    <row r="871" ht="12.0" customHeight="1">
      <c r="D871" s="2"/>
    </row>
    <row r="872" ht="12.0" customHeight="1">
      <c r="D872" s="2"/>
    </row>
    <row r="873" ht="12.0" customHeight="1">
      <c r="D873" s="2"/>
    </row>
    <row r="874" ht="12.0" customHeight="1">
      <c r="D874" s="2"/>
    </row>
    <row r="875" ht="12.0" customHeight="1">
      <c r="D875" s="2"/>
    </row>
    <row r="876" ht="12.0" customHeight="1">
      <c r="D876" s="2"/>
    </row>
    <row r="877" ht="12.0" customHeight="1">
      <c r="D877" s="2"/>
    </row>
    <row r="878" ht="12.0" customHeight="1">
      <c r="D878" s="2"/>
    </row>
    <row r="879" ht="12.0" customHeight="1">
      <c r="D879" s="2"/>
    </row>
    <row r="880" ht="12.0" customHeight="1">
      <c r="D880" s="2"/>
    </row>
    <row r="881" ht="12.0" customHeight="1">
      <c r="D881" s="2"/>
    </row>
    <row r="882" ht="12.0" customHeight="1">
      <c r="D882" s="2"/>
    </row>
    <row r="883" ht="12.0" customHeight="1">
      <c r="D883" s="2"/>
    </row>
    <row r="884" ht="12.0" customHeight="1">
      <c r="D884" s="2"/>
    </row>
    <row r="885" ht="12.0" customHeight="1">
      <c r="D885" s="2"/>
    </row>
    <row r="886" ht="12.0" customHeight="1">
      <c r="D886" s="2"/>
    </row>
    <row r="887" ht="12.0" customHeight="1">
      <c r="D887" s="2"/>
    </row>
    <row r="888" ht="12.0" customHeight="1">
      <c r="D888" s="2"/>
    </row>
    <row r="889" ht="12.0" customHeight="1">
      <c r="D889" s="2"/>
    </row>
    <row r="890" ht="12.0" customHeight="1">
      <c r="D890" s="2"/>
    </row>
    <row r="891" ht="12.0" customHeight="1">
      <c r="D891" s="2"/>
    </row>
    <row r="892" ht="12.0" customHeight="1">
      <c r="D892" s="2"/>
    </row>
    <row r="893" ht="12.0" customHeight="1">
      <c r="D893" s="2"/>
    </row>
    <row r="894" ht="12.0" customHeight="1">
      <c r="D894" s="2"/>
    </row>
    <row r="895" ht="12.0" customHeight="1">
      <c r="D895" s="2"/>
    </row>
    <row r="896" ht="12.0" customHeight="1">
      <c r="D896" s="2"/>
    </row>
    <row r="897" ht="12.0" customHeight="1">
      <c r="D897" s="2"/>
    </row>
    <row r="898" ht="12.0" customHeight="1">
      <c r="D898" s="2"/>
    </row>
    <row r="899" ht="12.0" customHeight="1">
      <c r="D899" s="2"/>
    </row>
    <row r="900" ht="12.0" customHeight="1">
      <c r="D900" s="2"/>
    </row>
    <row r="901" ht="12.0" customHeight="1">
      <c r="D901" s="2"/>
    </row>
    <row r="902" ht="12.0" customHeight="1">
      <c r="D902" s="2"/>
    </row>
    <row r="903" ht="12.0" customHeight="1">
      <c r="D903" s="2"/>
    </row>
    <row r="904" ht="12.0" customHeight="1">
      <c r="D904" s="2"/>
    </row>
    <row r="905" ht="12.0" customHeight="1">
      <c r="D905" s="2"/>
    </row>
    <row r="906" ht="12.0" customHeight="1">
      <c r="D906" s="2"/>
    </row>
    <row r="907" ht="12.0" customHeight="1">
      <c r="D907" s="2"/>
    </row>
    <row r="908" ht="12.0" customHeight="1">
      <c r="D908" s="2"/>
    </row>
    <row r="909" ht="12.0" customHeight="1">
      <c r="D909" s="2"/>
    </row>
    <row r="910" ht="12.0" customHeight="1">
      <c r="D910" s="2"/>
    </row>
    <row r="911" ht="12.0" customHeight="1">
      <c r="D911" s="2"/>
    </row>
    <row r="912" ht="12.0" customHeight="1">
      <c r="D912" s="2"/>
    </row>
    <row r="913" ht="12.0" customHeight="1">
      <c r="D913" s="2"/>
    </row>
    <row r="914" ht="12.0" customHeight="1">
      <c r="D914" s="2"/>
    </row>
    <row r="915" ht="12.0" customHeight="1">
      <c r="D915" s="2"/>
    </row>
    <row r="916" ht="12.0" customHeight="1">
      <c r="D916" s="2"/>
    </row>
    <row r="917" ht="12.0" customHeight="1">
      <c r="D917" s="2"/>
    </row>
    <row r="918" ht="12.0" customHeight="1">
      <c r="D918" s="2"/>
    </row>
    <row r="919" ht="12.0" customHeight="1">
      <c r="D919" s="2"/>
    </row>
    <row r="920" ht="12.0" customHeight="1">
      <c r="D920" s="2"/>
    </row>
    <row r="921" ht="12.0" customHeight="1">
      <c r="D921" s="2"/>
    </row>
    <row r="922" ht="12.0" customHeight="1">
      <c r="D922" s="2"/>
    </row>
    <row r="923" ht="12.0" customHeight="1">
      <c r="D923" s="2"/>
    </row>
    <row r="924" ht="12.0" customHeight="1">
      <c r="D924" s="2"/>
    </row>
    <row r="925" ht="12.0" customHeight="1">
      <c r="D925" s="2"/>
    </row>
    <row r="926" ht="12.0" customHeight="1">
      <c r="D926" s="2"/>
    </row>
    <row r="927" ht="12.0" customHeight="1">
      <c r="D927" s="2"/>
    </row>
    <row r="928" ht="12.0" customHeight="1">
      <c r="D928" s="2"/>
    </row>
    <row r="929" ht="12.0" customHeight="1">
      <c r="D929" s="2"/>
    </row>
    <row r="930" ht="12.0" customHeight="1">
      <c r="D930" s="2"/>
    </row>
    <row r="931" ht="12.0" customHeight="1">
      <c r="D931" s="2"/>
    </row>
    <row r="932" ht="12.0" customHeight="1">
      <c r="D932" s="2"/>
    </row>
    <row r="933" ht="12.0" customHeight="1">
      <c r="D933" s="2"/>
    </row>
    <row r="934" ht="12.0" customHeight="1">
      <c r="D934" s="2"/>
    </row>
    <row r="935" ht="12.0" customHeight="1">
      <c r="D935" s="2"/>
    </row>
    <row r="936" ht="12.0" customHeight="1">
      <c r="D936" s="2"/>
    </row>
    <row r="937" ht="12.0" customHeight="1">
      <c r="D937" s="2"/>
    </row>
    <row r="938" ht="12.0" customHeight="1">
      <c r="D938" s="2"/>
    </row>
    <row r="939" ht="12.0" customHeight="1">
      <c r="D939" s="2"/>
    </row>
    <row r="940" ht="12.0" customHeight="1">
      <c r="D940" s="2"/>
    </row>
    <row r="941" ht="12.0" customHeight="1">
      <c r="D941" s="2"/>
    </row>
    <row r="942" ht="12.0" customHeight="1">
      <c r="D942" s="2"/>
    </row>
    <row r="943" ht="12.0" customHeight="1">
      <c r="D943" s="2"/>
    </row>
    <row r="944" ht="12.0" customHeight="1">
      <c r="D944" s="2"/>
    </row>
    <row r="945" ht="12.0" customHeight="1">
      <c r="D945" s="2"/>
    </row>
    <row r="946" ht="12.0" customHeight="1">
      <c r="D946" s="2"/>
    </row>
    <row r="947" ht="12.0" customHeight="1">
      <c r="D947" s="2"/>
    </row>
    <row r="948" ht="12.0" customHeight="1">
      <c r="D948" s="2"/>
    </row>
    <row r="949" ht="12.0" customHeight="1">
      <c r="D949" s="2"/>
    </row>
    <row r="950" ht="12.0" customHeight="1">
      <c r="D950" s="2"/>
    </row>
    <row r="951" ht="12.0" customHeight="1">
      <c r="D951" s="2"/>
    </row>
    <row r="952" ht="12.0" customHeight="1">
      <c r="D952" s="2"/>
    </row>
    <row r="953" ht="12.0" customHeight="1">
      <c r="D953" s="2"/>
    </row>
    <row r="954" ht="12.0" customHeight="1">
      <c r="D954" s="2"/>
    </row>
    <row r="955" ht="12.0" customHeight="1">
      <c r="D955" s="2"/>
    </row>
    <row r="956" ht="12.0" customHeight="1">
      <c r="D956" s="2"/>
    </row>
    <row r="957" ht="12.0" customHeight="1">
      <c r="D957" s="2"/>
    </row>
    <row r="958" ht="12.0" customHeight="1">
      <c r="D958" s="2"/>
    </row>
    <row r="959" ht="12.0" customHeight="1">
      <c r="D959" s="2"/>
    </row>
    <row r="960" ht="12.0" customHeight="1">
      <c r="D960" s="2"/>
    </row>
    <row r="961" ht="12.0" customHeight="1">
      <c r="D961" s="2"/>
    </row>
    <row r="962" ht="12.0" customHeight="1">
      <c r="D962" s="2"/>
    </row>
    <row r="963" ht="12.0" customHeight="1">
      <c r="D963" s="2"/>
    </row>
    <row r="964" ht="12.0" customHeight="1">
      <c r="D964" s="2"/>
    </row>
    <row r="965" ht="12.0" customHeight="1">
      <c r="D965" s="2"/>
    </row>
    <row r="966" ht="12.0" customHeight="1">
      <c r="D966" s="2"/>
    </row>
    <row r="967" ht="12.0" customHeight="1">
      <c r="D967" s="2"/>
    </row>
    <row r="968" ht="12.0" customHeight="1">
      <c r="D968" s="2"/>
    </row>
    <row r="969" ht="12.0" customHeight="1">
      <c r="D969" s="2"/>
    </row>
    <row r="970" ht="12.0" customHeight="1">
      <c r="D970" s="2"/>
    </row>
    <row r="971" ht="12.0" customHeight="1">
      <c r="D971" s="2"/>
    </row>
    <row r="972" ht="12.0" customHeight="1">
      <c r="D972" s="2"/>
    </row>
    <row r="973" ht="12.0" customHeight="1">
      <c r="D973" s="2"/>
    </row>
    <row r="974" ht="12.0" customHeight="1">
      <c r="D974" s="2"/>
    </row>
    <row r="975" ht="12.0" customHeight="1">
      <c r="D975" s="2"/>
    </row>
    <row r="976" ht="12.0" customHeight="1">
      <c r="D976" s="2"/>
    </row>
    <row r="977" ht="12.0" customHeight="1">
      <c r="D977" s="2"/>
    </row>
    <row r="978" ht="12.0" customHeight="1">
      <c r="D978" s="2"/>
    </row>
    <row r="979" ht="12.0" customHeight="1">
      <c r="D979" s="2"/>
    </row>
    <row r="980" ht="12.0" customHeight="1">
      <c r="D980" s="2"/>
    </row>
    <row r="981" ht="12.0" customHeight="1">
      <c r="D981" s="2"/>
    </row>
    <row r="982" ht="12.0" customHeight="1">
      <c r="D982" s="2"/>
    </row>
    <row r="983" ht="12.0" customHeight="1">
      <c r="D983" s="2"/>
    </row>
    <row r="984" ht="12.0" customHeight="1">
      <c r="D984" s="2"/>
    </row>
    <row r="985" ht="12.0" customHeight="1">
      <c r="D985" s="2"/>
    </row>
    <row r="986" ht="12.0" customHeight="1">
      <c r="D986" s="2"/>
    </row>
    <row r="987" ht="12.0" customHeight="1">
      <c r="D987" s="2"/>
    </row>
    <row r="988" ht="12.0" customHeight="1">
      <c r="D988" s="2"/>
    </row>
    <row r="989" ht="12.0" customHeight="1">
      <c r="D989" s="2"/>
    </row>
    <row r="990" ht="12.0" customHeight="1">
      <c r="D990" s="2"/>
    </row>
    <row r="991" ht="12.0" customHeight="1">
      <c r="D991" s="2"/>
    </row>
    <row r="992" ht="12.0" customHeight="1">
      <c r="D992" s="2"/>
    </row>
    <row r="993" ht="12.0" customHeight="1">
      <c r="D993" s="2"/>
    </row>
    <row r="994" ht="12.0" customHeight="1">
      <c r="D994" s="2"/>
    </row>
    <row r="995" ht="12.0" customHeight="1">
      <c r="D995" s="2"/>
    </row>
    <row r="996" ht="12.0" customHeight="1">
      <c r="D996" s="2"/>
    </row>
    <row r="997" ht="12.0" customHeight="1">
      <c r="D997" s="2"/>
    </row>
    <row r="998" ht="12.0" customHeight="1">
      <c r="D998" s="2"/>
    </row>
    <row r="999" ht="12.0" customHeight="1">
      <c r="D999" s="2"/>
    </row>
    <row r="1000" ht="12.0" customHeight="1">
      <c r="D1000" s="2"/>
    </row>
  </sheetData>
  <hyperlinks>
    <hyperlink r:id="rId1" ref="C18"/>
    <hyperlink r:id="rId2" ref="C22"/>
    <hyperlink r:id="rId3" ref="C23"/>
    <hyperlink r:id="rId4" ref="C24"/>
    <hyperlink r:id="rId5" ref="C25"/>
    <hyperlink r:id="rId6" ref="C30"/>
    <hyperlink r:id="rId7" ref="C31"/>
    <hyperlink r:id="rId8" ref="C32"/>
  </hyperlinks>
  <printOptions/>
  <pageMargins bottom="0.75" footer="0.0" header="0.0" left="0.7" right="0.7" top="0.75"/>
  <pageSetup orientation="portrait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2017-02-19T01:59:23Z</dcterms:created>
  <dc:creator>Liam Bolster</dc:creator>
</cp:coreProperties>
</file>